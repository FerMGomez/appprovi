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ogomez/Documents/Vestacy/Provision/"/>
    </mc:Choice>
  </mc:AlternateContent>
  <xr:revisionPtr revIDLastSave="0" documentId="13_ncr:1_{675D8D91-51B3-C44F-BEE0-5FA012B27325}" xr6:coauthVersionLast="47" xr6:coauthVersionMax="47" xr10:uidLastSave="{00000000-0000-0000-0000-000000000000}"/>
  <bookViews>
    <workbookView xWindow="0" yWindow="0" windowWidth="28800" windowHeight="18000" activeTab="1" xr2:uid="{0CEB65BA-A127-41D9-A1AC-5279DA3573C4}"/>
  </bookViews>
  <sheets>
    <sheet name="Rutas2209" sheetId="4" state="hidden" r:id="rId1"/>
    <sheet name="OBD" sheetId="1" r:id="rId2"/>
    <sheet name="IBD" sheetId="2" state="hidden" r:id="rId3"/>
    <sheet name="Hoja1" sheetId="3" state="hidden" r:id="rId4"/>
  </sheets>
  <definedNames>
    <definedName name="_xlnm._FilterDatabase" localSheetId="2" hidden="1">IBD!$A$3:$N$37</definedName>
    <definedName name="_xlnm._FilterDatabase" localSheetId="1" hidden="1">OBD!$B$2:$N$206</definedName>
    <definedName name="_xlnm._FilterDatabase" localSheetId="0" hidden="1">Rutas2209!$B$2:$N$207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N207" i="4"/>
  <c r="T206" i="4"/>
  <c r="S206" i="4"/>
  <c r="W206" i="4" s="1"/>
  <c r="N206" i="4"/>
  <c r="T205" i="4"/>
  <c r="S205" i="4"/>
  <c r="W205" i="4" s="1"/>
  <c r="N205" i="4"/>
  <c r="T204" i="4"/>
  <c r="S204" i="4"/>
  <c r="W204" i="4" s="1"/>
  <c r="N204" i="4"/>
  <c r="T203" i="4"/>
  <c r="S203" i="4"/>
  <c r="W203" i="4" s="1"/>
  <c r="N203" i="4"/>
  <c r="T202" i="4"/>
  <c r="S202" i="4"/>
  <c r="W202" i="4" s="1"/>
  <c r="N202" i="4"/>
  <c r="T201" i="4"/>
  <c r="S201" i="4"/>
  <c r="W201" i="4" s="1"/>
  <c r="N201" i="4"/>
  <c r="T200" i="4"/>
  <c r="S200" i="4"/>
  <c r="W200" i="4" s="1"/>
  <c r="N200" i="4"/>
  <c r="T199" i="4"/>
  <c r="S199" i="4"/>
  <c r="W199" i="4" s="1"/>
  <c r="N199" i="4"/>
  <c r="T198" i="4"/>
  <c r="S198" i="4"/>
  <c r="W198" i="4" s="1"/>
  <c r="N198" i="4"/>
  <c r="T197" i="4"/>
  <c r="S197" i="4"/>
  <c r="W197" i="4" s="1"/>
  <c r="N197" i="4"/>
  <c r="T196" i="4"/>
  <c r="S196" i="4"/>
  <c r="W196" i="4" s="1"/>
  <c r="N196" i="4"/>
  <c r="T195" i="4"/>
  <c r="S195" i="4"/>
  <c r="W195" i="4" s="1"/>
  <c r="N195" i="4"/>
  <c r="T194" i="4"/>
  <c r="S194" i="4"/>
  <c r="W194" i="4" s="1"/>
  <c r="N194" i="4"/>
  <c r="T193" i="4"/>
  <c r="S193" i="4"/>
  <c r="W193" i="4" s="1"/>
  <c r="N193" i="4"/>
  <c r="T192" i="4"/>
  <c r="S192" i="4"/>
  <c r="W192" i="4" s="1"/>
  <c r="N192" i="4"/>
  <c r="T191" i="4"/>
  <c r="S191" i="4"/>
  <c r="W191" i="4" s="1"/>
  <c r="N191" i="4"/>
  <c r="T190" i="4"/>
  <c r="S190" i="4"/>
  <c r="W190" i="4" s="1"/>
  <c r="N190" i="4"/>
  <c r="T189" i="4"/>
  <c r="S189" i="4"/>
  <c r="W189" i="4" s="1"/>
  <c r="N189" i="4"/>
  <c r="T188" i="4"/>
  <c r="S188" i="4"/>
  <c r="W188" i="4" s="1"/>
  <c r="N188" i="4"/>
  <c r="T187" i="4"/>
  <c r="S187" i="4"/>
  <c r="W187" i="4" s="1"/>
  <c r="N187" i="4"/>
  <c r="T186" i="4"/>
  <c r="S186" i="4"/>
  <c r="W186" i="4" s="1"/>
  <c r="N186" i="4"/>
  <c r="T185" i="4"/>
  <c r="S185" i="4"/>
  <c r="W185" i="4" s="1"/>
  <c r="N185" i="4"/>
  <c r="T184" i="4"/>
  <c r="S184" i="4"/>
  <c r="W184" i="4" s="1"/>
  <c r="N184" i="4"/>
  <c r="T183" i="4"/>
  <c r="S183" i="4"/>
  <c r="W183" i="4" s="1"/>
  <c r="N183" i="4"/>
  <c r="T182" i="4"/>
  <c r="S182" i="4"/>
  <c r="W182" i="4" s="1"/>
  <c r="N182" i="4"/>
  <c r="T181" i="4"/>
  <c r="S181" i="4"/>
  <c r="W181" i="4" s="1"/>
  <c r="N181" i="4"/>
  <c r="T180" i="4"/>
  <c r="S180" i="4"/>
  <c r="W180" i="4" s="1"/>
  <c r="N180" i="4"/>
  <c r="T179" i="4"/>
  <c r="S179" i="4"/>
  <c r="W179" i="4" s="1"/>
  <c r="N179" i="4"/>
  <c r="T178" i="4"/>
  <c r="S178" i="4"/>
  <c r="W178" i="4" s="1"/>
  <c r="N178" i="4"/>
  <c r="T177" i="4"/>
  <c r="S177" i="4"/>
  <c r="W177" i="4" s="1"/>
  <c r="N177" i="4"/>
  <c r="T176" i="4"/>
  <c r="S176" i="4"/>
  <c r="W176" i="4" s="1"/>
  <c r="N176" i="4"/>
  <c r="T175" i="4"/>
  <c r="S175" i="4"/>
  <c r="W175" i="4" s="1"/>
  <c r="N175" i="4"/>
  <c r="T174" i="4"/>
  <c r="S174" i="4"/>
  <c r="W174" i="4" s="1"/>
  <c r="N174" i="4"/>
  <c r="T173" i="4"/>
  <c r="S173" i="4"/>
  <c r="W173" i="4" s="1"/>
  <c r="N173" i="4"/>
  <c r="T172" i="4"/>
  <c r="S172" i="4"/>
  <c r="W172" i="4" s="1"/>
  <c r="N172" i="4"/>
  <c r="T171" i="4"/>
  <c r="S171" i="4"/>
  <c r="W171" i="4" s="1"/>
  <c r="N171" i="4"/>
  <c r="T170" i="4"/>
  <c r="S170" i="4"/>
  <c r="W170" i="4" s="1"/>
  <c r="N170" i="4"/>
  <c r="T169" i="4"/>
  <c r="S169" i="4"/>
  <c r="W169" i="4" s="1"/>
  <c r="N169" i="4"/>
  <c r="T168" i="4"/>
  <c r="S168" i="4"/>
  <c r="W168" i="4" s="1"/>
  <c r="N168" i="4"/>
  <c r="T167" i="4"/>
  <c r="S167" i="4"/>
  <c r="W167" i="4" s="1"/>
  <c r="N167" i="4"/>
  <c r="T166" i="4"/>
  <c r="S166" i="4"/>
  <c r="W166" i="4" s="1"/>
  <c r="N166" i="4"/>
  <c r="T165" i="4"/>
  <c r="S165" i="4"/>
  <c r="W165" i="4" s="1"/>
  <c r="N165" i="4"/>
  <c r="T164" i="4"/>
  <c r="S164" i="4"/>
  <c r="W164" i="4" s="1"/>
  <c r="N164" i="4"/>
  <c r="T163" i="4"/>
  <c r="S163" i="4"/>
  <c r="W163" i="4" s="1"/>
  <c r="N163" i="4"/>
  <c r="T162" i="4"/>
  <c r="S162" i="4"/>
  <c r="W162" i="4" s="1"/>
  <c r="N162" i="4"/>
  <c r="T161" i="4"/>
  <c r="S161" i="4"/>
  <c r="W161" i="4" s="1"/>
  <c r="N161" i="4"/>
  <c r="T160" i="4"/>
  <c r="S160" i="4"/>
  <c r="W160" i="4" s="1"/>
  <c r="N160" i="4"/>
  <c r="T159" i="4"/>
  <c r="S159" i="4"/>
  <c r="W159" i="4" s="1"/>
  <c r="N159" i="4"/>
  <c r="T158" i="4"/>
  <c r="S158" i="4"/>
  <c r="W158" i="4" s="1"/>
  <c r="N158" i="4"/>
  <c r="T157" i="4"/>
  <c r="S157" i="4"/>
  <c r="W157" i="4" s="1"/>
  <c r="N157" i="4"/>
  <c r="T156" i="4"/>
  <c r="S156" i="4"/>
  <c r="W156" i="4" s="1"/>
  <c r="N156" i="4"/>
  <c r="T155" i="4"/>
  <c r="S155" i="4"/>
  <c r="W155" i="4" s="1"/>
  <c r="N155" i="4"/>
  <c r="T154" i="4"/>
  <c r="S154" i="4"/>
  <c r="W154" i="4" s="1"/>
  <c r="N154" i="4"/>
  <c r="T153" i="4"/>
  <c r="S153" i="4"/>
  <c r="W153" i="4" s="1"/>
  <c r="N153" i="4"/>
  <c r="T152" i="4"/>
  <c r="S152" i="4"/>
  <c r="W152" i="4" s="1"/>
  <c r="N152" i="4"/>
  <c r="T151" i="4"/>
  <c r="S151" i="4"/>
  <c r="W151" i="4" s="1"/>
  <c r="N151" i="4"/>
  <c r="T150" i="4"/>
  <c r="S150" i="4"/>
  <c r="W150" i="4" s="1"/>
  <c r="N150" i="4"/>
  <c r="T149" i="4"/>
  <c r="S149" i="4"/>
  <c r="W149" i="4" s="1"/>
  <c r="N149" i="4"/>
  <c r="T148" i="4"/>
  <c r="S148" i="4"/>
  <c r="W148" i="4" s="1"/>
  <c r="N148" i="4"/>
  <c r="T147" i="4"/>
  <c r="S147" i="4"/>
  <c r="W147" i="4" s="1"/>
  <c r="N147" i="4"/>
  <c r="T146" i="4"/>
  <c r="S146" i="4"/>
  <c r="W146" i="4" s="1"/>
  <c r="N146" i="4"/>
  <c r="T145" i="4"/>
  <c r="S145" i="4"/>
  <c r="W145" i="4" s="1"/>
  <c r="N145" i="4"/>
  <c r="T144" i="4"/>
  <c r="S144" i="4"/>
  <c r="W144" i="4" s="1"/>
  <c r="N144" i="4"/>
  <c r="T143" i="4"/>
  <c r="S143" i="4"/>
  <c r="W143" i="4" s="1"/>
  <c r="N143" i="4"/>
  <c r="T142" i="4"/>
  <c r="S142" i="4"/>
  <c r="W142" i="4" s="1"/>
  <c r="N142" i="4"/>
  <c r="T141" i="4"/>
  <c r="S141" i="4"/>
  <c r="W141" i="4" s="1"/>
  <c r="N141" i="4"/>
  <c r="T140" i="4"/>
  <c r="S140" i="4"/>
  <c r="W140" i="4" s="1"/>
  <c r="N140" i="4"/>
  <c r="T139" i="4"/>
  <c r="S139" i="4"/>
  <c r="W139" i="4" s="1"/>
  <c r="N139" i="4"/>
  <c r="T138" i="4"/>
  <c r="S138" i="4"/>
  <c r="W138" i="4" s="1"/>
  <c r="N138" i="4"/>
  <c r="T137" i="4"/>
  <c r="S137" i="4"/>
  <c r="W137" i="4" s="1"/>
  <c r="N137" i="4"/>
  <c r="T136" i="4"/>
  <c r="S136" i="4"/>
  <c r="W136" i="4" s="1"/>
  <c r="N136" i="4"/>
  <c r="T135" i="4"/>
  <c r="S135" i="4"/>
  <c r="W135" i="4" s="1"/>
  <c r="N135" i="4"/>
  <c r="T134" i="4"/>
  <c r="S134" i="4"/>
  <c r="W134" i="4" s="1"/>
  <c r="N134" i="4"/>
  <c r="T133" i="4"/>
  <c r="S133" i="4"/>
  <c r="W133" i="4" s="1"/>
  <c r="N133" i="4"/>
  <c r="T132" i="4"/>
  <c r="S132" i="4"/>
  <c r="W132" i="4" s="1"/>
  <c r="N132" i="4"/>
  <c r="T131" i="4"/>
  <c r="S131" i="4"/>
  <c r="W131" i="4" s="1"/>
  <c r="N131" i="4"/>
  <c r="T130" i="4"/>
  <c r="S130" i="4"/>
  <c r="W130" i="4" s="1"/>
  <c r="N130" i="4"/>
  <c r="T129" i="4"/>
  <c r="S129" i="4"/>
  <c r="W129" i="4" s="1"/>
  <c r="N129" i="4"/>
  <c r="T128" i="4"/>
  <c r="S128" i="4"/>
  <c r="W128" i="4" s="1"/>
  <c r="N128" i="4"/>
  <c r="T127" i="4"/>
  <c r="S127" i="4"/>
  <c r="W127" i="4" s="1"/>
  <c r="N127" i="4"/>
  <c r="T126" i="4"/>
  <c r="S126" i="4"/>
  <c r="W126" i="4" s="1"/>
  <c r="N126" i="4"/>
  <c r="T125" i="4"/>
  <c r="S125" i="4"/>
  <c r="W125" i="4" s="1"/>
  <c r="N125" i="4"/>
  <c r="T124" i="4"/>
  <c r="S124" i="4"/>
  <c r="W124" i="4" s="1"/>
  <c r="N124" i="4"/>
  <c r="T123" i="4"/>
  <c r="S123" i="4"/>
  <c r="W123" i="4" s="1"/>
  <c r="N123" i="4"/>
  <c r="T122" i="4"/>
  <c r="S122" i="4"/>
  <c r="W122" i="4" s="1"/>
  <c r="N122" i="4"/>
  <c r="T121" i="4"/>
  <c r="S121" i="4"/>
  <c r="W121" i="4" s="1"/>
  <c r="N121" i="4"/>
  <c r="T120" i="4"/>
  <c r="S120" i="4"/>
  <c r="W120" i="4" s="1"/>
  <c r="N120" i="4"/>
  <c r="T119" i="4"/>
  <c r="S119" i="4"/>
  <c r="W119" i="4" s="1"/>
  <c r="N119" i="4"/>
  <c r="T118" i="4"/>
  <c r="S118" i="4"/>
  <c r="W118" i="4" s="1"/>
  <c r="N118" i="4"/>
  <c r="T117" i="4"/>
  <c r="S117" i="4"/>
  <c r="W117" i="4" s="1"/>
  <c r="N117" i="4"/>
  <c r="T116" i="4"/>
  <c r="S116" i="4"/>
  <c r="W116" i="4" s="1"/>
  <c r="N116" i="4"/>
  <c r="T115" i="4"/>
  <c r="S115" i="4"/>
  <c r="W115" i="4" s="1"/>
  <c r="N115" i="4"/>
  <c r="T114" i="4"/>
  <c r="S114" i="4"/>
  <c r="W114" i="4" s="1"/>
  <c r="N114" i="4"/>
  <c r="T113" i="4"/>
  <c r="S113" i="4"/>
  <c r="W113" i="4" s="1"/>
  <c r="N113" i="4"/>
  <c r="T112" i="4"/>
  <c r="S112" i="4"/>
  <c r="W112" i="4" s="1"/>
  <c r="N112" i="4"/>
  <c r="T111" i="4"/>
  <c r="S111" i="4"/>
  <c r="W111" i="4" s="1"/>
  <c r="N111" i="4"/>
  <c r="T110" i="4"/>
  <c r="S110" i="4"/>
  <c r="W110" i="4" s="1"/>
  <c r="N110" i="4"/>
  <c r="T109" i="4"/>
  <c r="S109" i="4"/>
  <c r="W109" i="4" s="1"/>
  <c r="N109" i="4"/>
  <c r="T108" i="4"/>
  <c r="S108" i="4"/>
  <c r="W108" i="4" s="1"/>
  <c r="N108" i="4"/>
  <c r="T107" i="4"/>
  <c r="S107" i="4"/>
  <c r="W107" i="4" s="1"/>
  <c r="N107" i="4"/>
  <c r="T106" i="4"/>
  <c r="S106" i="4"/>
  <c r="W106" i="4" s="1"/>
  <c r="N106" i="4"/>
  <c r="T105" i="4"/>
  <c r="S105" i="4"/>
  <c r="W105" i="4" s="1"/>
  <c r="N105" i="4"/>
  <c r="T104" i="4"/>
  <c r="S104" i="4"/>
  <c r="W104" i="4" s="1"/>
  <c r="N104" i="4"/>
  <c r="T103" i="4"/>
  <c r="S103" i="4"/>
  <c r="W103" i="4" s="1"/>
  <c r="N103" i="4"/>
  <c r="T102" i="4"/>
  <c r="S102" i="4"/>
  <c r="W102" i="4" s="1"/>
  <c r="N102" i="4"/>
  <c r="T101" i="4"/>
  <c r="S101" i="4"/>
  <c r="W101" i="4" s="1"/>
  <c r="N101" i="4"/>
  <c r="T100" i="4"/>
  <c r="S100" i="4"/>
  <c r="W100" i="4" s="1"/>
  <c r="N100" i="4"/>
  <c r="T99" i="4"/>
  <c r="S99" i="4"/>
  <c r="W99" i="4" s="1"/>
  <c r="N99" i="4"/>
  <c r="T98" i="4"/>
  <c r="S98" i="4"/>
  <c r="W98" i="4" s="1"/>
  <c r="N98" i="4"/>
  <c r="T97" i="4"/>
  <c r="S97" i="4"/>
  <c r="W97" i="4" s="1"/>
  <c r="N97" i="4"/>
  <c r="T96" i="4"/>
  <c r="S96" i="4"/>
  <c r="W96" i="4" s="1"/>
  <c r="N96" i="4"/>
  <c r="T95" i="4"/>
  <c r="S95" i="4"/>
  <c r="W95" i="4" s="1"/>
  <c r="N95" i="4"/>
  <c r="T94" i="4"/>
  <c r="S94" i="4"/>
  <c r="W94" i="4" s="1"/>
  <c r="N94" i="4"/>
  <c r="T93" i="4"/>
  <c r="S93" i="4"/>
  <c r="W93" i="4" s="1"/>
  <c r="N93" i="4"/>
  <c r="T92" i="4"/>
  <c r="S92" i="4"/>
  <c r="W92" i="4" s="1"/>
  <c r="N92" i="4"/>
  <c r="T91" i="4"/>
  <c r="S91" i="4"/>
  <c r="W91" i="4" s="1"/>
  <c r="N91" i="4"/>
  <c r="T90" i="4"/>
  <c r="S90" i="4"/>
  <c r="W90" i="4" s="1"/>
  <c r="N90" i="4"/>
  <c r="T89" i="4"/>
  <c r="S89" i="4"/>
  <c r="W89" i="4" s="1"/>
  <c r="N89" i="4"/>
  <c r="T88" i="4"/>
  <c r="S88" i="4"/>
  <c r="W88" i="4" s="1"/>
  <c r="N88" i="4"/>
  <c r="T87" i="4"/>
  <c r="S87" i="4"/>
  <c r="W87" i="4" s="1"/>
  <c r="N87" i="4"/>
  <c r="T86" i="4"/>
  <c r="S86" i="4"/>
  <c r="W86" i="4" s="1"/>
  <c r="N86" i="4"/>
  <c r="T85" i="4"/>
  <c r="S85" i="4"/>
  <c r="W85" i="4" s="1"/>
  <c r="N85" i="4"/>
  <c r="T84" i="4"/>
  <c r="S84" i="4"/>
  <c r="W84" i="4" s="1"/>
  <c r="N84" i="4"/>
  <c r="T83" i="4"/>
  <c r="S83" i="4"/>
  <c r="W83" i="4" s="1"/>
  <c r="N83" i="4"/>
  <c r="T82" i="4"/>
  <c r="S82" i="4"/>
  <c r="W82" i="4" s="1"/>
  <c r="N82" i="4"/>
  <c r="T81" i="4"/>
  <c r="S81" i="4"/>
  <c r="W81" i="4" s="1"/>
  <c r="N81" i="4"/>
  <c r="T80" i="4"/>
  <c r="S80" i="4"/>
  <c r="W80" i="4" s="1"/>
  <c r="N80" i="4"/>
  <c r="T79" i="4"/>
  <c r="S79" i="4"/>
  <c r="W79" i="4" s="1"/>
  <c r="N79" i="4"/>
  <c r="T78" i="4"/>
  <c r="S78" i="4"/>
  <c r="W78" i="4" s="1"/>
  <c r="N78" i="4"/>
  <c r="T77" i="4"/>
  <c r="S77" i="4"/>
  <c r="W77" i="4" s="1"/>
  <c r="N77" i="4"/>
  <c r="T76" i="4"/>
  <c r="S76" i="4"/>
  <c r="W76" i="4" s="1"/>
  <c r="N76" i="4"/>
  <c r="T75" i="4"/>
  <c r="S75" i="4"/>
  <c r="W75" i="4" s="1"/>
  <c r="N75" i="4"/>
  <c r="T74" i="4"/>
  <c r="S74" i="4"/>
  <c r="W74" i="4" s="1"/>
  <c r="N74" i="4"/>
  <c r="T73" i="4"/>
  <c r="S73" i="4"/>
  <c r="W73" i="4" s="1"/>
  <c r="N73" i="4"/>
  <c r="T72" i="4"/>
  <c r="S72" i="4"/>
  <c r="W72" i="4" s="1"/>
  <c r="N72" i="4"/>
  <c r="T71" i="4"/>
  <c r="S71" i="4"/>
  <c r="W71" i="4" s="1"/>
  <c r="N71" i="4"/>
  <c r="T70" i="4"/>
  <c r="S70" i="4"/>
  <c r="W70" i="4" s="1"/>
  <c r="N70" i="4"/>
  <c r="T69" i="4"/>
  <c r="S69" i="4"/>
  <c r="W69" i="4" s="1"/>
  <c r="N69" i="4"/>
  <c r="T68" i="4"/>
  <c r="S68" i="4"/>
  <c r="W68" i="4" s="1"/>
  <c r="N68" i="4"/>
  <c r="T67" i="4"/>
  <c r="S67" i="4"/>
  <c r="W67" i="4" s="1"/>
  <c r="N67" i="4"/>
  <c r="T66" i="4"/>
  <c r="S66" i="4"/>
  <c r="W66" i="4" s="1"/>
  <c r="N66" i="4"/>
  <c r="T65" i="4"/>
  <c r="S65" i="4"/>
  <c r="W65" i="4" s="1"/>
  <c r="N65" i="4"/>
  <c r="T64" i="4"/>
  <c r="S64" i="4"/>
  <c r="W64" i="4" s="1"/>
  <c r="N64" i="4"/>
  <c r="T63" i="4"/>
  <c r="S63" i="4"/>
  <c r="W63" i="4" s="1"/>
  <c r="N63" i="4"/>
  <c r="T62" i="4"/>
  <c r="S62" i="4"/>
  <c r="W62" i="4" s="1"/>
  <c r="N62" i="4"/>
  <c r="T61" i="4"/>
  <c r="S61" i="4"/>
  <c r="W61" i="4" s="1"/>
  <c r="N61" i="4"/>
  <c r="T60" i="4"/>
  <c r="S60" i="4"/>
  <c r="W60" i="4" s="1"/>
  <c r="N60" i="4"/>
  <c r="T59" i="4"/>
  <c r="S59" i="4"/>
  <c r="W59" i="4" s="1"/>
  <c r="N59" i="4"/>
  <c r="T58" i="4"/>
  <c r="S58" i="4"/>
  <c r="W58" i="4" s="1"/>
  <c r="N58" i="4"/>
  <c r="T57" i="4"/>
  <c r="S57" i="4"/>
  <c r="W57" i="4" s="1"/>
  <c r="N57" i="4"/>
  <c r="T56" i="4"/>
  <c r="S56" i="4"/>
  <c r="W56" i="4" s="1"/>
  <c r="N56" i="4"/>
  <c r="T55" i="4"/>
  <c r="S55" i="4"/>
  <c r="W55" i="4" s="1"/>
  <c r="N55" i="4"/>
  <c r="T54" i="4"/>
  <c r="S54" i="4"/>
  <c r="W54" i="4" s="1"/>
  <c r="N54" i="4"/>
  <c r="T53" i="4"/>
  <c r="S53" i="4"/>
  <c r="W53" i="4" s="1"/>
  <c r="N53" i="4"/>
  <c r="T52" i="4"/>
  <c r="S52" i="4"/>
  <c r="W52" i="4" s="1"/>
  <c r="N52" i="4"/>
  <c r="T51" i="4"/>
  <c r="S51" i="4"/>
  <c r="W51" i="4" s="1"/>
  <c r="N51" i="4"/>
  <c r="T50" i="4"/>
  <c r="S50" i="4"/>
  <c r="W50" i="4" s="1"/>
  <c r="N50" i="4"/>
  <c r="T49" i="4"/>
  <c r="S49" i="4"/>
  <c r="W49" i="4" s="1"/>
  <c r="N49" i="4"/>
  <c r="T48" i="4"/>
  <c r="S48" i="4"/>
  <c r="W48" i="4" s="1"/>
  <c r="N48" i="4"/>
  <c r="T47" i="4"/>
  <c r="S47" i="4"/>
  <c r="W47" i="4" s="1"/>
  <c r="N47" i="4"/>
  <c r="T46" i="4"/>
  <c r="S46" i="4"/>
  <c r="W46" i="4" s="1"/>
  <c r="N46" i="4"/>
  <c r="T45" i="4"/>
  <c r="S45" i="4"/>
  <c r="W45" i="4" s="1"/>
  <c r="N45" i="4"/>
  <c r="T44" i="4"/>
  <c r="S44" i="4"/>
  <c r="W44" i="4" s="1"/>
  <c r="N44" i="4"/>
  <c r="T43" i="4"/>
  <c r="S43" i="4"/>
  <c r="W43" i="4" s="1"/>
  <c r="N43" i="4"/>
  <c r="T42" i="4"/>
  <c r="S42" i="4"/>
  <c r="W42" i="4" s="1"/>
  <c r="N42" i="4"/>
  <c r="T41" i="4"/>
  <c r="S41" i="4"/>
  <c r="W41" i="4" s="1"/>
  <c r="N41" i="4"/>
  <c r="T40" i="4"/>
  <c r="S40" i="4"/>
  <c r="W40" i="4" s="1"/>
  <c r="N40" i="4"/>
  <c r="T39" i="4"/>
  <c r="S39" i="4"/>
  <c r="W39" i="4" s="1"/>
  <c r="N39" i="4"/>
  <c r="T38" i="4"/>
  <c r="S38" i="4"/>
  <c r="W38" i="4" s="1"/>
  <c r="N38" i="4"/>
  <c r="T37" i="4"/>
  <c r="S37" i="4"/>
  <c r="W37" i="4" s="1"/>
  <c r="N37" i="4"/>
  <c r="T36" i="4"/>
  <c r="S36" i="4"/>
  <c r="W36" i="4" s="1"/>
  <c r="N36" i="4"/>
  <c r="T35" i="4"/>
  <c r="S35" i="4"/>
  <c r="W35" i="4" s="1"/>
  <c r="N35" i="4"/>
  <c r="T34" i="4"/>
  <c r="S34" i="4"/>
  <c r="W34" i="4" s="1"/>
  <c r="N34" i="4"/>
  <c r="T33" i="4"/>
  <c r="S33" i="4"/>
  <c r="W33" i="4" s="1"/>
  <c r="N33" i="4"/>
  <c r="T32" i="4"/>
  <c r="S32" i="4"/>
  <c r="W32" i="4" s="1"/>
  <c r="N32" i="4"/>
  <c r="T31" i="4"/>
  <c r="S31" i="4"/>
  <c r="W31" i="4" s="1"/>
  <c r="N31" i="4"/>
  <c r="T30" i="4"/>
  <c r="S30" i="4"/>
  <c r="W30" i="4" s="1"/>
  <c r="N30" i="4"/>
  <c r="T29" i="4"/>
  <c r="S29" i="4"/>
  <c r="W29" i="4" s="1"/>
  <c r="N29" i="4"/>
  <c r="T28" i="4"/>
  <c r="S28" i="4"/>
  <c r="W28" i="4" s="1"/>
  <c r="N28" i="4"/>
  <c r="T27" i="4"/>
  <c r="S27" i="4"/>
  <c r="W27" i="4" s="1"/>
  <c r="N27" i="4"/>
  <c r="T26" i="4"/>
  <c r="S26" i="4"/>
  <c r="W26" i="4" s="1"/>
  <c r="N26" i="4"/>
  <c r="T25" i="4"/>
  <c r="S25" i="4"/>
  <c r="W25" i="4" s="1"/>
  <c r="N25" i="4"/>
  <c r="T24" i="4"/>
  <c r="S24" i="4"/>
  <c r="W24" i="4" s="1"/>
  <c r="N24" i="4"/>
  <c r="T23" i="4"/>
  <c r="S23" i="4"/>
  <c r="W23" i="4" s="1"/>
  <c r="N23" i="4"/>
  <c r="T22" i="4"/>
  <c r="S22" i="4"/>
  <c r="W22" i="4" s="1"/>
  <c r="N22" i="4"/>
  <c r="T21" i="4"/>
  <c r="S21" i="4"/>
  <c r="W21" i="4" s="1"/>
  <c r="N21" i="4"/>
  <c r="T20" i="4"/>
  <c r="S20" i="4"/>
  <c r="W20" i="4" s="1"/>
  <c r="N20" i="4"/>
  <c r="T19" i="4"/>
  <c r="S19" i="4"/>
  <c r="W19" i="4" s="1"/>
  <c r="N19" i="4"/>
  <c r="T18" i="4"/>
  <c r="S18" i="4"/>
  <c r="W18" i="4" s="1"/>
  <c r="N18" i="4"/>
  <c r="T17" i="4"/>
  <c r="S17" i="4"/>
  <c r="W17" i="4" s="1"/>
  <c r="N17" i="4"/>
  <c r="T16" i="4"/>
  <c r="S16" i="4"/>
  <c r="W16" i="4" s="1"/>
  <c r="N16" i="4"/>
  <c r="T15" i="4"/>
  <c r="S15" i="4"/>
  <c r="W15" i="4" s="1"/>
  <c r="N15" i="4"/>
  <c r="T14" i="4"/>
  <c r="S14" i="4"/>
  <c r="W14" i="4" s="1"/>
  <c r="N14" i="4"/>
  <c r="T13" i="4"/>
  <c r="S13" i="4"/>
  <c r="W13" i="4" s="1"/>
  <c r="N13" i="4"/>
  <c r="T12" i="4"/>
  <c r="S12" i="4"/>
  <c r="W12" i="4" s="1"/>
  <c r="N12" i="4"/>
  <c r="T11" i="4"/>
  <c r="S11" i="4"/>
  <c r="W11" i="4" s="1"/>
  <c r="N11" i="4"/>
  <c r="T10" i="4"/>
  <c r="S10" i="4"/>
  <c r="W10" i="4" s="1"/>
  <c r="N10" i="4"/>
  <c r="T9" i="4"/>
  <c r="S9" i="4"/>
  <c r="W9" i="4" s="1"/>
  <c r="N9" i="4"/>
  <c r="T8" i="4"/>
  <c r="S8" i="4"/>
  <c r="W8" i="4" s="1"/>
  <c r="N8" i="4"/>
  <c r="T7" i="4"/>
  <c r="S7" i="4"/>
  <c r="W7" i="4" s="1"/>
  <c r="N7" i="4"/>
  <c r="T6" i="4"/>
  <c r="S6" i="4"/>
  <c r="W6" i="4" s="1"/>
  <c r="N6" i="4"/>
  <c r="T5" i="4"/>
  <c r="S5" i="4"/>
  <c r="W5" i="4" s="1"/>
  <c r="N5" i="4"/>
  <c r="AK4" i="4"/>
  <c r="T4" i="4"/>
  <c r="S4" i="4"/>
  <c r="W4" i="4" s="1"/>
  <c r="N4" i="4"/>
  <c r="T3" i="4"/>
  <c r="S3" i="4"/>
  <c r="W3" i="4" s="1"/>
  <c r="N3" i="4"/>
  <c r="N3" i="1"/>
  <c r="N206" i="1"/>
  <c r="N204" i="1"/>
  <c r="N205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159" i="1"/>
  <c r="N16" i="1"/>
  <c r="N17" i="1"/>
  <c r="N18" i="1"/>
  <c r="N19" i="1"/>
  <c r="N20" i="1"/>
  <c r="N8" i="1"/>
  <c r="N9" i="1"/>
  <c r="N10" i="1"/>
  <c r="N11" i="1"/>
  <c r="N12" i="1"/>
  <c r="N13" i="1"/>
  <c r="N14" i="1"/>
  <c r="N15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31" i="1"/>
  <c r="N132" i="1"/>
  <c r="N133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14" i="1"/>
  <c r="N115" i="1"/>
  <c r="N109" i="1"/>
  <c r="N110" i="1"/>
  <c r="N111" i="1"/>
  <c r="N112" i="1"/>
  <c r="N113" i="1"/>
  <c r="N105" i="1"/>
  <c r="N106" i="1"/>
  <c r="N107" i="1"/>
  <c r="N108" i="1"/>
  <c r="N103" i="1"/>
  <c r="N104" i="1"/>
  <c r="N91" i="1"/>
  <c r="N92" i="1"/>
  <c r="N93" i="1"/>
  <c r="N94" i="1"/>
  <c r="N95" i="1"/>
  <c r="N96" i="1"/>
  <c r="N97" i="1"/>
  <c r="N98" i="1"/>
  <c r="N99" i="1"/>
  <c r="N100" i="1"/>
  <c r="N101" i="1"/>
  <c r="N102" i="1"/>
  <c r="N85" i="1"/>
  <c r="N86" i="1"/>
  <c r="N87" i="1"/>
  <c r="N88" i="1"/>
  <c r="N89" i="1"/>
  <c r="N90" i="1"/>
  <c r="N4" i="1"/>
  <c r="N5" i="1"/>
  <c r="N6" i="1"/>
  <c r="N7" i="1"/>
  <c r="N77" i="1"/>
  <c r="N78" i="1"/>
  <c r="N79" i="1"/>
  <c r="N80" i="1"/>
  <c r="N81" i="1"/>
  <c r="N82" i="1"/>
  <c r="N83" i="1"/>
  <c r="N84" i="1"/>
  <c r="N74" i="1"/>
  <c r="N75" i="1"/>
  <c r="N76" i="1"/>
  <c r="N71" i="1"/>
  <c r="N72" i="1"/>
  <c r="N73" i="1"/>
  <c r="N69" i="1"/>
  <c r="N70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130" i="1"/>
  <c r="N44" i="1"/>
  <c r="N45" i="1"/>
  <c r="N46" i="1"/>
  <c r="N47" i="1"/>
  <c r="N48" i="1"/>
  <c r="N49" i="1"/>
  <c r="N50" i="1"/>
  <c r="N203" i="1"/>
  <c r="N51" i="1"/>
  <c r="N52" i="1"/>
  <c r="N53" i="1"/>
  <c r="N54" i="1"/>
  <c r="N55" i="1"/>
  <c r="N29" i="1"/>
  <c r="N30" i="1"/>
  <c r="N27" i="1"/>
  <c r="N28" i="1"/>
  <c r="N21" i="1"/>
  <c r="N22" i="1"/>
  <c r="N23" i="1"/>
  <c r="N24" i="1"/>
  <c r="N25" i="1"/>
  <c r="N202" i="1"/>
  <c r="N26" i="1"/>
  <c r="AI4" i="1"/>
</calcChain>
</file>

<file path=xl/sharedStrings.xml><?xml version="1.0" encoding="utf-8"?>
<sst xmlns="http://schemas.openxmlformats.org/spreadsheetml/2006/main" count="7277" uniqueCount="785">
  <si>
    <t>RUTAS SAP</t>
  </si>
  <si>
    <t>Business</t>
  </si>
  <si>
    <t>RUT</t>
  </si>
  <si>
    <t>&amp;ZONA (Parada) Base ICDRB</t>
  </si>
  <si>
    <t>&amp;ZONA (Parada) Para tarifario</t>
  </si>
  <si>
    <t>Provincia</t>
  </si>
  <si>
    <t>Ruta</t>
  </si>
  <si>
    <t>ZONA</t>
  </si>
  <si>
    <t>Parada</t>
  </si>
  <si>
    <t>ABR_01</t>
  </si>
  <si>
    <t>ABR_02</t>
  </si>
  <si>
    <t>ZONA2</t>
  </si>
  <si>
    <t>PARADA2</t>
  </si>
  <si>
    <t>FROM</t>
  </si>
  <si>
    <t>TO</t>
  </si>
  <si>
    <t>Pick Pack</t>
  </si>
  <si>
    <t>Shipping condition</t>
  </si>
  <si>
    <t>Transit time</t>
  </si>
  <si>
    <t>Transport Zone 1</t>
  </si>
  <si>
    <t>Transport Zone 2</t>
  </si>
  <si>
    <t>Ruta2</t>
  </si>
  <si>
    <t>Health</t>
  </si>
  <si>
    <t>Hyho</t>
  </si>
  <si>
    <t>Columna1</t>
  </si>
  <si>
    <t>Exportacion</t>
  </si>
  <si>
    <t>Montevideo</t>
  </si>
  <si>
    <t>Uruguay</t>
  </si>
  <si>
    <t>AR</t>
  </si>
  <si>
    <t>UR</t>
  </si>
  <si>
    <t>1</t>
  </si>
  <si>
    <t>01</t>
  </si>
  <si>
    <t>RB_FV</t>
  </si>
  <si>
    <t>1d</t>
  </si>
  <si>
    <t>Road/Truck</t>
  </si>
  <si>
    <t>3d</t>
  </si>
  <si>
    <t>AR00000001</t>
  </si>
  <si>
    <t>X</t>
  </si>
  <si>
    <t>ARG</t>
  </si>
  <si>
    <t>_01_</t>
  </si>
  <si>
    <t>001</t>
  </si>
  <si>
    <t>Interior</t>
  </si>
  <si>
    <t>Centenario, Neuquen</t>
  </si>
  <si>
    <t>Provincia del Neuquén</t>
  </si>
  <si>
    <t>BHN</t>
  </si>
  <si>
    <t>NQ</t>
  </si>
  <si>
    <t>Neuquen, Neuquen</t>
  </si>
  <si>
    <t>02</t>
  </si>
  <si>
    <t>San M. de Los Andes,Neuquen</t>
  </si>
  <si>
    <t>03</t>
  </si>
  <si>
    <t>Zapala, Neuquen</t>
  </si>
  <si>
    <t>Zapala</t>
  </si>
  <si>
    <t>04</t>
  </si>
  <si>
    <t>Comodoro Rivadavia, Chubut</t>
  </si>
  <si>
    <t>Comodoro Rivadavia</t>
  </si>
  <si>
    <t>Provincia del Chubut</t>
  </si>
  <si>
    <t>PAT</t>
  </si>
  <si>
    <t>CT</t>
  </si>
  <si>
    <t>2d</t>
  </si>
  <si>
    <t>Esquel, Chubut</t>
  </si>
  <si>
    <t>Esquel</t>
  </si>
  <si>
    <t>Playa Union, Chubut</t>
  </si>
  <si>
    <t>Playa Union</t>
  </si>
  <si>
    <t>Puerto Madryn, Chubut</t>
  </si>
  <si>
    <t>Rawson, Chubut</t>
  </si>
  <si>
    <t>Rawson</t>
  </si>
  <si>
    <t>05</t>
  </si>
  <si>
    <t>Rio Mayo, Chubut</t>
  </si>
  <si>
    <t>06</t>
  </si>
  <si>
    <t>Sarmiento, Chubut</t>
  </si>
  <si>
    <t>Sarmiento</t>
  </si>
  <si>
    <t>07</t>
  </si>
  <si>
    <t>Trelew, Chubut</t>
  </si>
  <si>
    <t>Trelew</t>
  </si>
  <si>
    <t>08</t>
  </si>
  <si>
    <t>Charata, Chaco</t>
  </si>
  <si>
    <t>Charata</t>
  </si>
  <si>
    <t>Provincia del Chaco</t>
  </si>
  <si>
    <t>NEA</t>
  </si>
  <si>
    <t>CH</t>
  </si>
  <si>
    <t>Pcia.Roque S.PE&amp;A, Chaco</t>
  </si>
  <si>
    <t>Pcia.Roque S.PE&amp;A</t>
  </si>
  <si>
    <t>Quitilipi, Chaco  </t>
  </si>
  <si>
    <t>Resistencia, Chaco</t>
  </si>
  <si>
    <t>Resistencia</t>
  </si>
  <si>
    <t>Villa Angela, Chaco</t>
  </si>
  <si>
    <t>Villa Ángela</t>
  </si>
  <si>
    <t>Aguilares, Tucuman</t>
  </si>
  <si>
    <t>Provincia de Tucumán</t>
  </si>
  <si>
    <t>NOA</t>
  </si>
  <si>
    <t>TU</t>
  </si>
  <si>
    <t>Concepcion, Tucuman</t>
  </si>
  <si>
    <t>Juan B.Alberdi, Tucuman</t>
  </si>
  <si>
    <t>Monteros, Tucuman</t>
  </si>
  <si>
    <t>San M.de Tucuman, Tucuman</t>
  </si>
  <si>
    <t>San M.de Tucuman</t>
  </si>
  <si>
    <t>Yerba Buena, Tucuman</t>
  </si>
  <si>
    <t>Rio Grande, Tierra del Fuego</t>
  </si>
  <si>
    <t>Rio Grande</t>
  </si>
  <si>
    <t>Provincia de Tierra del Fuego, Antártida e Islas del Atlántico Sur</t>
  </si>
  <si>
    <t>TF</t>
  </si>
  <si>
    <t>Ushuaia, Tierra del Fuego</t>
  </si>
  <si>
    <t>Ushuaia</t>
  </si>
  <si>
    <t>Fernandez, Sgo. del Estero</t>
  </si>
  <si>
    <t>Provincia de Santiago del Estero</t>
  </si>
  <si>
    <t>SE</t>
  </si>
  <si>
    <t>Santiago del Estero, Sgo.del E</t>
  </si>
  <si>
    <t>Santiago del Estero</t>
  </si>
  <si>
    <t>Avellaneda, Santa Fe</t>
  </si>
  <si>
    <t>Provincia de Santa Fe</t>
  </si>
  <si>
    <t>SFE</t>
  </si>
  <si>
    <t>SF</t>
  </si>
  <si>
    <t>Cañada de Gomez, Santa Fe</t>
  </si>
  <si>
    <t>Cañada de Gomez</t>
  </si>
  <si>
    <t>Capitan Bermudez, Santa Fe</t>
  </si>
  <si>
    <t>Capitan Bermudez</t>
  </si>
  <si>
    <t>Casilda, Santa Fe</t>
  </si>
  <si>
    <t>Casilda</t>
  </si>
  <si>
    <t>Chabas, Santa Fe</t>
  </si>
  <si>
    <t>Chabas</t>
  </si>
  <si>
    <t>Chanar Ladeado,Santa Fe</t>
  </si>
  <si>
    <t>Chanar Ladeado</t>
  </si>
  <si>
    <t>EMP V Constitucion, Santa Fe</t>
  </si>
  <si>
    <t>Esperanza, Santa Fe</t>
  </si>
  <si>
    <t>Firmat, Santa Fe</t>
  </si>
  <si>
    <t>Firmat</t>
  </si>
  <si>
    <t>09</t>
  </si>
  <si>
    <t>Frontera, Santa Fe</t>
  </si>
  <si>
    <t>Frontera</t>
  </si>
  <si>
    <t>10</t>
  </si>
  <si>
    <t>Granadero Baigorria, Santa Fe</t>
  </si>
  <si>
    <t>11</t>
  </si>
  <si>
    <t>Laguna Paiva, Santa Fe</t>
  </si>
  <si>
    <t>12</t>
  </si>
  <si>
    <t>Maggiolo, Santa Fe</t>
  </si>
  <si>
    <t>13</t>
  </si>
  <si>
    <t>Rafaela, Santa Fe</t>
  </si>
  <si>
    <t>Rafaela</t>
  </si>
  <si>
    <t>14</t>
  </si>
  <si>
    <t>Reconquista, Santa Fe</t>
  </si>
  <si>
    <t>Reconquista</t>
  </si>
  <si>
    <t>15</t>
  </si>
  <si>
    <t>Rosario, Santa Fe</t>
  </si>
  <si>
    <t>Rosario</t>
  </si>
  <si>
    <t>16</t>
  </si>
  <si>
    <t>Rufino, Santa Fe</t>
  </si>
  <si>
    <t>Rufino</t>
  </si>
  <si>
    <t>17</t>
  </si>
  <si>
    <t>San Jorge, Santa Fe</t>
  </si>
  <si>
    <t>18</t>
  </si>
  <si>
    <t>San Justo, Santa Fe</t>
  </si>
  <si>
    <t>San Justo</t>
  </si>
  <si>
    <t>19</t>
  </si>
  <si>
    <t>San Lorenzo, Santa Fe</t>
  </si>
  <si>
    <t>20</t>
  </si>
  <si>
    <t>Santa Fe, Santa Fe</t>
  </si>
  <si>
    <t>Santa Fe</t>
  </si>
  <si>
    <t>21</t>
  </si>
  <si>
    <t>Santa Fe 1</t>
  </si>
  <si>
    <t>22</t>
  </si>
  <si>
    <t>Santo Tome, Santa Fe</t>
  </si>
  <si>
    <t>Santo Tome</t>
  </si>
  <si>
    <t>23</t>
  </si>
  <si>
    <t>Venado Tuerto, Santa Fe</t>
  </si>
  <si>
    <t>Venado Tuerto</t>
  </si>
  <si>
    <t>24</t>
  </si>
  <si>
    <t>Villa Gobernador Galvez,Santa</t>
  </si>
  <si>
    <t>25</t>
  </si>
  <si>
    <t>Caleta Olivia,Santa Cruz</t>
  </si>
  <si>
    <t>Caleta Olivia</t>
  </si>
  <si>
    <t>Provincia de Santa Cruz</t>
  </si>
  <si>
    <t>SC</t>
  </si>
  <si>
    <t>Cte.Luis Piedrabuena,Santa Cru</t>
  </si>
  <si>
    <t>Cte.Luis Piedrabuena</t>
  </si>
  <si>
    <t>El Calafate, Santa Cruz</t>
  </si>
  <si>
    <t>El Calafate</t>
  </si>
  <si>
    <t>Gobernador Gregores,Santa Cruz</t>
  </si>
  <si>
    <t>Gobernador Gregores</t>
  </si>
  <si>
    <t>Los Antiguos, Santa Cruz</t>
  </si>
  <si>
    <t>Los Antiguos</t>
  </si>
  <si>
    <t>Patagonia</t>
  </si>
  <si>
    <t>Perito Moreno, Santa Cruz</t>
  </si>
  <si>
    <t>Perito Moreno</t>
  </si>
  <si>
    <t>Pico Truncado, Santa Cruz</t>
  </si>
  <si>
    <t>Pico Truncado</t>
  </si>
  <si>
    <t>Pto.Deseado</t>
  </si>
  <si>
    <t>Puerto San Julian, Santa Cruz</t>
  </si>
  <si>
    <t>Puerto San Julian</t>
  </si>
  <si>
    <t>Puerto Santa Cruz, Santa Cruz</t>
  </si>
  <si>
    <t>Puerto Santa Cruz</t>
  </si>
  <si>
    <t>Rio Gallegos, Santa Cruz</t>
  </si>
  <si>
    <t>Rio Gallegos</t>
  </si>
  <si>
    <t>Rio Turbio, Santa Cruz</t>
  </si>
  <si>
    <t>Rio Turbio</t>
  </si>
  <si>
    <t>San Luis, San Luis</t>
  </si>
  <si>
    <t>San Luis</t>
  </si>
  <si>
    <t>Provincia de San Luis</t>
  </si>
  <si>
    <t>CUY</t>
  </si>
  <si>
    <t>SL</t>
  </si>
  <si>
    <t>Villa Mercedes, San Luis</t>
  </si>
  <si>
    <t>Villa Mercedes</t>
  </si>
  <si>
    <t>San Juan , San Juan</t>
  </si>
  <si>
    <t xml:space="preserve">San Juan </t>
  </si>
  <si>
    <t>Provincia de San Juan</t>
  </si>
  <si>
    <t>SJ</t>
  </si>
  <si>
    <t>Santa Lucia , San Juan</t>
  </si>
  <si>
    <t xml:space="preserve">Santa Lucia </t>
  </si>
  <si>
    <t>Villa Krause, San Juan</t>
  </si>
  <si>
    <t>Cerrillos,Salta</t>
  </si>
  <si>
    <t>Cerrillos</t>
  </si>
  <si>
    <t>Provincia de Salta</t>
  </si>
  <si>
    <t>SA</t>
  </si>
  <si>
    <t>Pocitos, Salta</t>
  </si>
  <si>
    <t>Salta, Salta</t>
  </si>
  <si>
    <t>Salta</t>
  </si>
  <si>
    <t>Choele Choel, Rio Negro</t>
  </si>
  <si>
    <t>Choele Choel</t>
  </si>
  <si>
    <t>Provincia de Río Negro</t>
  </si>
  <si>
    <t>RN</t>
  </si>
  <si>
    <t>Cipolletti, Rio Negro</t>
  </si>
  <si>
    <t>Cipolletti</t>
  </si>
  <si>
    <t>El Bolson, Rio Negro</t>
  </si>
  <si>
    <t>El Bolson</t>
  </si>
  <si>
    <t>Gral. Roca, Rio Negro</t>
  </si>
  <si>
    <t>Gral. Roca</t>
  </si>
  <si>
    <t>Rio Negro</t>
  </si>
  <si>
    <t>San C. de Bariloche, Rio Negro</t>
  </si>
  <si>
    <t>San C. de Bariloche</t>
  </si>
  <si>
    <t>Viedma, Rio Negro</t>
  </si>
  <si>
    <t>Viedma</t>
  </si>
  <si>
    <t>Villa Regina, Rio Negro</t>
  </si>
  <si>
    <t>Eldorado, Misiones</t>
  </si>
  <si>
    <t>Eldorado</t>
  </si>
  <si>
    <t>Provincia de Misiones</t>
  </si>
  <si>
    <t>MI</t>
  </si>
  <si>
    <t>Jardin America, Misiones</t>
  </si>
  <si>
    <t>Leandro N. Alem, Misiones</t>
  </si>
  <si>
    <t>Obera, Misiones</t>
  </si>
  <si>
    <t>Posadas, Misiones</t>
  </si>
  <si>
    <t>Posadas</t>
  </si>
  <si>
    <t>Puerto Rico, Misiones</t>
  </si>
  <si>
    <t>Acceso Este Rodeo de la Cruz,M</t>
  </si>
  <si>
    <t>Acceso Este Rodeo de la Cruz</t>
  </si>
  <si>
    <t>Provincia de Mendoza</t>
  </si>
  <si>
    <t>MZ</t>
  </si>
  <si>
    <t>Godoy Cruz, Mendonza</t>
  </si>
  <si>
    <t>Godoy Cruz</t>
  </si>
  <si>
    <t>Gral.Alvear, Mendonza</t>
  </si>
  <si>
    <t>Gral.Alvear</t>
  </si>
  <si>
    <t>Guaymallen</t>
  </si>
  <si>
    <t>Las Heras, Mendonza</t>
  </si>
  <si>
    <t>Las Heras</t>
  </si>
  <si>
    <t>Lujan de Cuyo, Mendonza</t>
  </si>
  <si>
    <t>Lujan de Cuyo</t>
  </si>
  <si>
    <t>Mendoza, Mendoza</t>
  </si>
  <si>
    <t>Mendoza</t>
  </si>
  <si>
    <t>Rivadavia, Mendoza</t>
  </si>
  <si>
    <t>Rivadavia</t>
  </si>
  <si>
    <t>San Jose</t>
  </si>
  <si>
    <t>Cuyo 1</t>
  </si>
  <si>
    <t>San Martin</t>
  </si>
  <si>
    <t>San Rafael, Mendonza</t>
  </si>
  <si>
    <t>Villanueva, Mendonza</t>
  </si>
  <si>
    <t>Chilecito,La Rioja</t>
  </si>
  <si>
    <t>Chilecito</t>
  </si>
  <si>
    <t>Provincia de La Rioja</t>
  </si>
  <si>
    <t>COR</t>
  </si>
  <si>
    <t>LR</t>
  </si>
  <si>
    <t>La Rioja, La Rioja</t>
  </si>
  <si>
    <t>La Rioja</t>
  </si>
  <si>
    <t>Gral.Pico, La Pampa</t>
  </si>
  <si>
    <t>Gral. Pico</t>
  </si>
  <si>
    <t>Provincia de La Pampa</t>
  </si>
  <si>
    <t>PAM</t>
  </si>
  <si>
    <t>LP</t>
  </si>
  <si>
    <t>Intendente Alvear, La Pampa</t>
  </si>
  <si>
    <t>La Pampa</t>
  </si>
  <si>
    <t>Santa Rosa, La Pampa</t>
  </si>
  <si>
    <t>Santa Rosa</t>
  </si>
  <si>
    <t>La Quiaca, Jujuy</t>
  </si>
  <si>
    <t>Provincia de Jujuy</t>
  </si>
  <si>
    <t>JY</t>
  </si>
  <si>
    <t>Lib.Gral.San Martin, Jujuy</t>
  </si>
  <si>
    <t>Lib.Gral.San Martin</t>
  </si>
  <si>
    <t>NOA 1</t>
  </si>
  <si>
    <t>Palpala</t>
  </si>
  <si>
    <t>San Pedro de Jujuy, Jujuy</t>
  </si>
  <si>
    <t>San S. de Jujuy, Jujuy</t>
  </si>
  <si>
    <t>Clorinda, Formosa</t>
  </si>
  <si>
    <t>Clorinda</t>
  </si>
  <si>
    <t>Provincia de Formosa</t>
  </si>
  <si>
    <t>FO</t>
  </si>
  <si>
    <t>Formosa, Formosa</t>
  </si>
  <si>
    <t>Formosa</t>
  </si>
  <si>
    <t>Chajari, Entre Rios</t>
  </si>
  <si>
    <t>Provincia de Entre Ríos</t>
  </si>
  <si>
    <t>MSO</t>
  </si>
  <si>
    <t>ER</t>
  </si>
  <si>
    <t>Colon, Entre Rios</t>
  </si>
  <si>
    <t>Concepcion del Uruguay,Entre R</t>
  </si>
  <si>
    <t>Concepcion del Uruguay</t>
  </si>
  <si>
    <t>Concordia, Entre Rios</t>
  </si>
  <si>
    <t>Concordia</t>
  </si>
  <si>
    <t>Crespo, Entre Rios</t>
  </si>
  <si>
    <t>Diamante, Entre Rios</t>
  </si>
  <si>
    <t>Gualeguay, Entre Rios</t>
  </si>
  <si>
    <t>Gualeguaychu, Entre Rios</t>
  </si>
  <si>
    <t>Gualeguaychu</t>
  </si>
  <si>
    <t>La Paz, Entre Rios</t>
  </si>
  <si>
    <t>Mesopotamia 1</t>
  </si>
  <si>
    <t>Nogoya, Entre Rios</t>
  </si>
  <si>
    <t>Santa Helena, Entre Rios</t>
  </si>
  <si>
    <t>Victoria, Entre Rios</t>
  </si>
  <si>
    <t>Villaguay, Entre Rios</t>
  </si>
  <si>
    <t>Parana, Entre Rios</t>
  </si>
  <si>
    <t>Parana</t>
  </si>
  <si>
    <t>Corrientes, Corrientes</t>
  </si>
  <si>
    <t>Corrientes</t>
  </si>
  <si>
    <t>Provincia de Corrientes</t>
  </si>
  <si>
    <t>CR</t>
  </si>
  <si>
    <t>Goya ,Corrientes</t>
  </si>
  <si>
    <t>Paso de los Libres,Corrientes</t>
  </si>
  <si>
    <t>Paso de los Libres</t>
  </si>
  <si>
    <t>Alta Gracia, Cordoba  </t>
  </si>
  <si>
    <t>Alta Gracia</t>
  </si>
  <si>
    <t>Provincia de Córdoba</t>
  </si>
  <si>
    <t>CB</t>
  </si>
  <si>
    <t>Arguello, Cordoba</t>
  </si>
  <si>
    <t>Arroyito, Cordoba</t>
  </si>
  <si>
    <t>B.Villa Cabrera</t>
  </si>
  <si>
    <t>Barrio Alto Verde</t>
  </si>
  <si>
    <t>Camino Colonia Tirolesa, Cordo</t>
  </si>
  <si>
    <t>Camino Colonia Tirolesa</t>
  </si>
  <si>
    <t>Colonia Caroya, Cordoba</t>
  </si>
  <si>
    <t>Cordoba, Cordoba</t>
  </si>
  <si>
    <t>Cordoba</t>
  </si>
  <si>
    <t>Corral de Bustos, Cordoba</t>
  </si>
  <si>
    <t>Corral de Bustos</t>
  </si>
  <si>
    <t>Cosquin, Cordoba</t>
  </si>
  <si>
    <t>Embalse Rio Tercero, Cordoba</t>
  </si>
  <si>
    <t>Jesus Maria, Cordoba</t>
  </si>
  <si>
    <t>Las Peyas, Cordoba</t>
  </si>
  <si>
    <t>Monte Cristo, Cordoba</t>
  </si>
  <si>
    <t>Obispo Trejo, Cordoba</t>
  </si>
  <si>
    <t>Rio Ceballos, Cordoba</t>
  </si>
  <si>
    <t>Rio Ceballos</t>
  </si>
  <si>
    <t>Rio Cuarto, Cordoba</t>
  </si>
  <si>
    <t>Rio Cuarto</t>
  </si>
  <si>
    <t>Rio Tercero, Cordoba</t>
  </si>
  <si>
    <t>Rio Tercero</t>
  </si>
  <si>
    <t>San Francisco, Cordoba</t>
  </si>
  <si>
    <t>San Francisco</t>
  </si>
  <si>
    <t>San Francisco Del Chanar</t>
  </si>
  <si>
    <t>Santa Rosa de Rio Primero,Cord</t>
  </si>
  <si>
    <t>Santa Rosa de Rio Primero</t>
  </si>
  <si>
    <t>Unquillo, Cordoba</t>
  </si>
  <si>
    <t>Unquillo</t>
  </si>
  <si>
    <t>Villa Carlos Paz, Cordoba</t>
  </si>
  <si>
    <t>Villa Carlos Paz</t>
  </si>
  <si>
    <t>Villa del Rosario, Cordoba</t>
  </si>
  <si>
    <t>Villa Maria, Cordoba</t>
  </si>
  <si>
    <t>Villa Maria</t>
  </si>
  <si>
    <t>Catamarca, Catamarca</t>
  </si>
  <si>
    <t>Catamarca</t>
  </si>
  <si>
    <t>Provincia de Catamarca</t>
  </si>
  <si>
    <t>CA</t>
  </si>
  <si>
    <t>Cap - GBA</t>
  </si>
  <si>
    <t>Capital</t>
  </si>
  <si>
    <t>Provincia de Buenos Aires</t>
  </si>
  <si>
    <t>BUE</t>
  </si>
  <si>
    <t>CPF</t>
  </si>
  <si>
    <t>BA</t>
  </si>
  <si>
    <t>Zona Norte</t>
  </si>
  <si>
    <t>GBA</t>
  </si>
  <si>
    <t>Zona Oeste</t>
  </si>
  <si>
    <t>004</t>
  </si>
  <si>
    <t>Zona Sur</t>
  </si>
  <si>
    <t>ZMB</t>
  </si>
  <si>
    <t>Mercedes</t>
  </si>
  <si>
    <t>005</t>
  </si>
  <si>
    <t>Campana</t>
  </si>
  <si>
    <t>006</t>
  </si>
  <si>
    <t>Zarate</t>
  </si>
  <si>
    <t>007</t>
  </si>
  <si>
    <t>Pilar</t>
  </si>
  <si>
    <t>008</t>
  </si>
  <si>
    <t>Balcarce, Buenos Aires</t>
  </si>
  <si>
    <t>Balcarce</t>
  </si>
  <si>
    <t>ATL</t>
  </si>
  <si>
    <t>BSC</t>
  </si>
  <si>
    <t>Gral.Madariaga, Buenos Aires</t>
  </si>
  <si>
    <t>Gral.Madariaga</t>
  </si>
  <si>
    <t>Mar de Ajo, Buenos Aires</t>
  </si>
  <si>
    <t>Mar de Ajo</t>
  </si>
  <si>
    <t>Mar Del Plata, Buenos Aires</t>
  </si>
  <si>
    <t>Mar Del Plata</t>
  </si>
  <si>
    <t>Miramar, Buenos Aires</t>
  </si>
  <si>
    <t>Miramar</t>
  </si>
  <si>
    <t>Necochea, Buenos Aires</t>
  </si>
  <si>
    <t>Necochea</t>
  </si>
  <si>
    <t>Pinamar, Buenos Aires</t>
  </si>
  <si>
    <t>Pinamar</t>
  </si>
  <si>
    <t>San Bernardo, Buenos Aires</t>
  </si>
  <si>
    <t>San Bernardo</t>
  </si>
  <si>
    <t>San Clemente del Tuyu,Buenos A</t>
  </si>
  <si>
    <t>San Clemente del Tuyu</t>
  </si>
  <si>
    <t>Villa Gessel, Buenos Aires</t>
  </si>
  <si>
    <t>Villa Gessel</t>
  </si>
  <si>
    <t>Bahia Blanca, Buenos Aires</t>
  </si>
  <si>
    <t>Bahia Blanca</t>
  </si>
  <si>
    <t>4</t>
  </si>
  <si>
    <t>44</t>
  </si>
  <si>
    <t>9 de Julio, Buenos Aires</t>
  </si>
  <si>
    <t>9 de Julio</t>
  </si>
  <si>
    <t>BSI</t>
  </si>
  <si>
    <t>3</t>
  </si>
  <si>
    <t>America, Buenos Aires</t>
  </si>
  <si>
    <t>Azul, Buenos Aires</t>
  </si>
  <si>
    <t>Azul</t>
  </si>
  <si>
    <t>Bragado, Buenos Aires</t>
  </si>
  <si>
    <t>Bragado</t>
  </si>
  <si>
    <t>Campana, Buenos Aires</t>
  </si>
  <si>
    <t>Chascomus,Buenos Aires</t>
  </si>
  <si>
    <t>Chascomus</t>
  </si>
  <si>
    <t>Chivilcoy, Buenos Aires</t>
  </si>
  <si>
    <t>Coronel Suarez,Buenos Aires</t>
  </si>
  <si>
    <t>Coronel Suarez</t>
  </si>
  <si>
    <t>26</t>
  </si>
  <si>
    <t>Dolores, Buenos Aires</t>
  </si>
  <si>
    <t>27</t>
  </si>
  <si>
    <t>Bolivar, Buenos Aires</t>
  </si>
  <si>
    <t>Bolivar</t>
  </si>
  <si>
    <t>28</t>
  </si>
  <si>
    <t>Gral.Villegas, Buenos Aires</t>
  </si>
  <si>
    <t>29</t>
  </si>
  <si>
    <t>Junin, Buenos Aires</t>
  </si>
  <si>
    <t>Junin</t>
  </si>
  <si>
    <t xml:space="preserve">lo </t>
  </si>
  <si>
    <t>30</t>
  </si>
  <si>
    <t>Lincoln, Buenos Aires</t>
  </si>
  <si>
    <t>31</t>
  </si>
  <si>
    <t>Loberia, Buenos Aires</t>
  </si>
  <si>
    <t>32</t>
  </si>
  <si>
    <t>Olavarria, Buenos Aires</t>
  </si>
  <si>
    <t>Olavarria</t>
  </si>
  <si>
    <t>33</t>
  </si>
  <si>
    <t>Otamendi, Buenos Aires</t>
  </si>
  <si>
    <t>34</t>
  </si>
  <si>
    <t>Pehuajo,Buenos Aires</t>
  </si>
  <si>
    <t>Pehuajo</t>
  </si>
  <si>
    <t>35</t>
  </si>
  <si>
    <t>Pergamino, Buenos Aires</t>
  </si>
  <si>
    <t>Pergamino</t>
  </si>
  <si>
    <t>36</t>
  </si>
  <si>
    <t>Pigue, Buenos Aires</t>
  </si>
  <si>
    <t>37</t>
  </si>
  <si>
    <t>Saladillo, Buenos Aires</t>
  </si>
  <si>
    <t>38</t>
  </si>
  <si>
    <t>Tandil, Buenos Aires</t>
  </si>
  <si>
    <t>Tandil</t>
  </si>
  <si>
    <t>39</t>
  </si>
  <si>
    <t>Tres Arroyos, Buenos Aires</t>
  </si>
  <si>
    <t>40</t>
  </si>
  <si>
    <t>Vedia BS AS</t>
  </si>
  <si>
    <t>41</t>
  </si>
  <si>
    <t>San Nicolas, Buenos Aires</t>
  </si>
  <si>
    <t>San Nicolas</t>
  </si>
  <si>
    <t>42</t>
  </si>
  <si>
    <t>Trenque Lauquen</t>
  </si>
  <si>
    <t>010</t>
  </si>
  <si>
    <t>43</t>
  </si>
  <si>
    <t>Asuncion</t>
  </si>
  <si>
    <t>Paraguay</t>
  </si>
  <si>
    <t>PA</t>
  </si>
  <si>
    <t>Santiago</t>
  </si>
  <si>
    <t>Chile</t>
  </si>
  <si>
    <t>CL</t>
  </si>
  <si>
    <t>Santa Cruz</t>
  </si>
  <si>
    <t>Bolivia</t>
  </si>
  <si>
    <t>BO</t>
  </si>
  <si>
    <t>Direccion de RB</t>
  </si>
  <si>
    <t>Direccione del cliente</t>
  </si>
  <si>
    <t>cliente</t>
  </si>
  <si>
    <t>ARXCT1X01</t>
  </si>
  <si>
    <t>ARCT01</t>
  </si>
  <si>
    <t>ARXCT1X07</t>
  </si>
  <si>
    <t>ARCT07</t>
  </si>
  <si>
    <t>Ruta_SAP</t>
  </si>
  <si>
    <t>EX</t>
  </si>
  <si>
    <t>URU</t>
  </si>
  <si>
    <t>299</t>
  </si>
  <si>
    <t>906</t>
  </si>
  <si>
    <t>904</t>
  </si>
  <si>
    <t>920</t>
  </si>
  <si>
    <t>914</t>
  </si>
  <si>
    <t>356</t>
  </si>
  <si>
    <t>950</t>
  </si>
  <si>
    <t>966</t>
  </si>
  <si>
    <t>953</t>
  </si>
  <si>
    <t>964</t>
  </si>
  <si>
    <t>962</t>
  </si>
  <si>
    <t>954</t>
  </si>
  <si>
    <t>952</t>
  </si>
  <si>
    <t>960</t>
  </si>
  <si>
    <t>348</t>
  </si>
  <si>
    <t>370</t>
  </si>
  <si>
    <t>365</t>
  </si>
  <si>
    <t>375</t>
  </si>
  <si>
    <t>350</t>
  </si>
  <si>
    <t>337</t>
  </si>
  <si>
    <t>415</t>
  </si>
  <si>
    <t>353</t>
  </si>
  <si>
    <t>410</t>
  </si>
  <si>
    <t>420</t>
  </si>
  <si>
    <t>405</t>
  </si>
  <si>
    <t>400</t>
  </si>
  <si>
    <t>425</t>
  </si>
  <si>
    <t>357</t>
  </si>
  <si>
    <t>995</t>
  </si>
  <si>
    <t>990</t>
  </si>
  <si>
    <t>359</t>
  </si>
  <si>
    <t>435</t>
  </si>
  <si>
    <t>430</t>
  </si>
  <si>
    <t>799</t>
  </si>
  <si>
    <t>735</t>
  </si>
  <si>
    <t>706</t>
  </si>
  <si>
    <t>708</t>
  </si>
  <si>
    <t>710</t>
  </si>
  <si>
    <t>703</t>
  </si>
  <si>
    <t>780</t>
  </si>
  <si>
    <t>795</t>
  </si>
  <si>
    <t>750</t>
  </si>
  <si>
    <t>705</t>
  </si>
  <si>
    <t>704</t>
  </si>
  <si>
    <t>785</t>
  </si>
  <si>
    <t>745</t>
  </si>
  <si>
    <t>715</t>
  </si>
  <si>
    <t>798</t>
  </si>
  <si>
    <t>700</t>
  </si>
  <si>
    <t>714</t>
  </si>
  <si>
    <t>730</t>
  </si>
  <si>
    <t>790</t>
  </si>
  <si>
    <t>712</t>
  </si>
  <si>
    <t>765</t>
  </si>
  <si>
    <t>770</t>
  </si>
  <si>
    <t>740</t>
  </si>
  <si>
    <t>702</t>
  </si>
  <si>
    <t>270</t>
  </si>
  <si>
    <t>959</t>
  </si>
  <si>
    <t>970</t>
  </si>
  <si>
    <t>980</t>
  </si>
  <si>
    <t>974</t>
  </si>
  <si>
    <t>958</t>
  </si>
  <si>
    <t>296</t>
  </si>
  <si>
    <t>956</t>
  </si>
  <si>
    <t>957</t>
  </si>
  <si>
    <t>978</t>
  </si>
  <si>
    <t>972</t>
  </si>
  <si>
    <t>968</t>
  </si>
  <si>
    <t>976</t>
  </si>
  <si>
    <t>985</t>
  </si>
  <si>
    <t>265</t>
  </si>
  <si>
    <t>565</t>
  </si>
  <si>
    <t>570</t>
  </si>
  <si>
    <t>264</t>
  </si>
  <si>
    <t>500</t>
  </si>
  <si>
    <t>505</t>
  </si>
  <si>
    <t>510</t>
  </si>
  <si>
    <t>352</t>
  </si>
  <si>
    <t>411</t>
  </si>
  <si>
    <t>455</t>
  </si>
  <si>
    <t>440</t>
  </si>
  <si>
    <t xml:space="preserve"> </t>
  </si>
  <si>
    <t>294</t>
  </si>
  <si>
    <t>918</t>
  </si>
  <si>
    <t>908</t>
  </si>
  <si>
    <t>930</t>
  </si>
  <si>
    <t>910</t>
  </si>
  <si>
    <t>283</t>
  </si>
  <si>
    <t>925</t>
  </si>
  <si>
    <t>935</t>
  </si>
  <si>
    <t>912</t>
  </si>
  <si>
    <t>349</t>
  </si>
  <si>
    <t>325</t>
  </si>
  <si>
    <t>310</t>
  </si>
  <si>
    <t>305</t>
  </si>
  <si>
    <t>320</t>
  </si>
  <si>
    <t>300</t>
  </si>
  <si>
    <t>315</t>
  </si>
  <si>
    <t>261</t>
  </si>
  <si>
    <t>530</t>
  </si>
  <si>
    <t>520</t>
  </si>
  <si>
    <t>555</t>
  </si>
  <si>
    <t>522</t>
  </si>
  <si>
    <t>540</t>
  </si>
  <si>
    <t>525</t>
  </si>
  <si>
    <t>515</t>
  </si>
  <si>
    <t>501</t>
  </si>
  <si>
    <t>523</t>
  </si>
  <si>
    <t>550</t>
  </si>
  <si>
    <t>535</t>
  </si>
  <si>
    <t>358</t>
  </si>
  <si>
    <t>476</t>
  </si>
  <si>
    <t>475</t>
  </si>
  <si>
    <t>295</t>
  </si>
  <si>
    <t>820</t>
  </si>
  <si>
    <t>806</t>
  </si>
  <si>
    <t>815</t>
  </si>
  <si>
    <t>362</t>
  </si>
  <si>
    <t>465</t>
  </si>
  <si>
    <t>450</t>
  </si>
  <si>
    <t>381</t>
  </si>
  <si>
    <t>445</t>
  </si>
  <si>
    <t>460</t>
  </si>
  <si>
    <t>343</t>
  </si>
  <si>
    <t>360</t>
  </si>
  <si>
    <t>355</t>
  </si>
  <si>
    <t>347</t>
  </si>
  <si>
    <t>280</t>
  </si>
  <si>
    <t>298</t>
  </si>
  <si>
    <t>293</t>
  </si>
  <si>
    <t>277</t>
  </si>
  <si>
    <t>250</t>
  </si>
  <si>
    <t>245</t>
  </si>
  <si>
    <t>235</t>
  </si>
  <si>
    <t>230</t>
  </si>
  <si>
    <t>267</t>
  </si>
  <si>
    <t>255</t>
  </si>
  <si>
    <t>268</t>
  </si>
  <si>
    <t>260</t>
  </si>
  <si>
    <t>290</t>
  </si>
  <si>
    <t>342</t>
  </si>
  <si>
    <t>240</t>
  </si>
  <si>
    <t>361</t>
  </si>
  <si>
    <t>330</t>
  </si>
  <si>
    <t>335</t>
  </si>
  <si>
    <t>285</t>
  </si>
  <si>
    <t>351</t>
  </si>
  <si>
    <t>607</t>
  </si>
  <si>
    <t>635</t>
  </si>
  <si>
    <t>725</t>
  </si>
  <si>
    <t>627</t>
  </si>
  <si>
    <t>628</t>
  </si>
  <si>
    <t>605</t>
  </si>
  <si>
    <t>650</t>
  </si>
  <si>
    <t>600</t>
  </si>
  <si>
    <t>680</t>
  </si>
  <si>
    <t>610</t>
  </si>
  <si>
    <t>670</t>
  </si>
  <si>
    <t>645</t>
  </si>
  <si>
    <t>660</t>
  </si>
  <si>
    <t>625</t>
  </si>
  <si>
    <t>655</t>
  </si>
  <si>
    <t>620</t>
  </si>
  <si>
    <t>662</t>
  </si>
  <si>
    <t>665</t>
  </si>
  <si>
    <t>720</t>
  </si>
  <si>
    <t>657</t>
  </si>
  <si>
    <t>630</t>
  </si>
  <si>
    <t>615</t>
  </si>
  <si>
    <t>640</t>
  </si>
  <si>
    <t>685</t>
  </si>
  <si>
    <t>675</t>
  </si>
  <si>
    <t>354</t>
  </si>
  <si>
    <t>470</t>
  </si>
  <si>
    <t>885</t>
  </si>
  <si>
    <t>2</t>
  </si>
  <si>
    <t>856</t>
  </si>
  <si>
    <t>823</t>
  </si>
  <si>
    <t>870</t>
  </si>
  <si>
    <t>880</t>
  </si>
  <si>
    <t>890</t>
  </si>
  <si>
    <t>860</t>
  </si>
  <si>
    <t>854</t>
  </si>
  <si>
    <t>852</t>
  </si>
  <si>
    <t>858</t>
  </si>
  <si>
    <t>900</t>
  </si>
  <si>
    <t>825</t>
  </si>
  <si>
    <t>810</t>
  </si>
  <si>
    <t>814</t>
  </si>
  <si>
    <t>809</t>
  </si>
  <si>
    <t>862</t>
  </si>
  <si>
    <t>811</t>
  </si>
  <si>
    <t>830</t>
  </si>
  <si>
    <t>813</t>
  </si>
  <si>
    <t>850</t>
  </si>
  <si>
    <t>848</t>
  </si>
  <si>
    <t>808</t>
  </si>
  <si>
    <t>800</t>
  </si>
  <si>
    <t>802</t>
  </si>
  <si>
    <t>895</t>
  </si>
  <si>
    <t>816</t>
  </si>
  <si>
    <t>875</t>
  </si>
  <si>
    <t>817</t>
  </si>
  <si>
    <t>755</t>
  </si>
  <si>
    <t>902</t>
  </si>
  <si>
    <t>812</t>
  </si>
  <si>
    <t>840</t>
  </si>
  <si>
    <t>818</t>
  </si>
  <si>
    <t>819</t>
  </si>
  <si>
    <t>775</t>
  </si>
  <si>
    <t>PAR</t>
  </si>
  <si>
    <t>BOL</t>
  </si>
  <si>
    <t>Business Information</t>
  </si>
  <si>
    <t xml:space="preserve">Source Plant code </t>
  </si>
  <si>
    <t>Source Location</t>
  </si>
  <si>
    <t>Source System</t>
  </si>
  <si>
    <t>Destination location</t>
  </si>
  <si>
    <t>Destination System</t>
  </si>
  <si>
    <t>Destination Plant code</t>
  </si>
  <si>
    <t>Notes</t>
  </si>
  <si>
    <t>Confirmed By</t>
  </si>
  <si>
    <t>Date</t>
  </si>
  <si>
    <t>Information</t>
  </si>
  <si>
    <t>Name of the RB site that is the source location.</t>
  </si>
  <si>
    <t>System used by the source location</t>
  </si>
  <si>
    <t>Name of the RB site that is the destination location.</t>
  </si>
  <si>
    <t>System used by the destination location</t>
  </si>
  <si>
    <t>Relevant notes for this process e.g. exceptions or specific requirements</t>
  </si>
  <si>
    <t xml:space="preserve">Comments </t>
  </si>
  <si>
    <t>Name of the key user who confirms the scenario</t>
  </si>
  <si>
    <t>Date the scenario is confirmed by the key user</t>
  </si>
  <si>
    <t>Healt</t>
  </si>
  <si>
    <t>FG</t>
  </si>
  <si>
    <t>Materials/Raw Materials</t>
  </si>
  <si>
    <t>COA2</t>
  </si>
  <si>
    <t>Cali Factory, Colombia</t>
  </si>
  <si>
    <t>Florencia Varela CD</t>
  </si>
  <si>
    <t>JDE</t>
  </si>
  <si>
    <t>ARA2</t>
  </si>
  <si>
    <t>Florencio Varela Factory, Argentina</t>
  </si>
  <si>
    <t>GBA6</t>
  </si>
  <si>
    <t>Factory GB Hull</t>
  </si>
  <si>
    <t>THA2</t>
  </si>
  <si>
    <t>Factory Thailand Bangplee</t>
  </si>
  <si>
    <t>CND2</t>
  </si>
  <si>
    <t>East Gadget Hub (Health)</t>
  </si>
  <si>
    <t>THA4</t>
  </si>
  <si>
    <t>Factory Thailand Bangpakong</t>
  </si>
  <si>
    <t>FRB4</t>
  </si>
  <si>
    <t>Factory France Chartres</t>
  </si>
  <si>
    <t>Factory Columbia Cali</t>
  </si>
  <si>
    <t>PKA2</t>
  </si>
  <si>
    <t>Factory Pakistan Mauripur</t>
  </si>
  <si>
    <t>Guma</t>
  </si>
  <si>
    <t>Local Factory Production in name of RB</t>
  </si>
  <si>
    <t>Millanel</t>
  </si>
  <si>
    <t>PLA2</t>
  </si>
  <si>
    <t>Factory Nowy Dword</t>
  </si>
  <si>
    <t>GBB2</t>
  </si>
  <si>
    <t>Derby UK</t>
  </si>
  <si>
    <t>MXA2</t>
  </si>
  <si>
    <t>RB Atizapán Mexico</t>
  </si>
  <si>
    <t>PTA2</t>
  </si>
  <si>
    <t>RB Porto Alto</t>
  </si>
  <si>
    <t>BRA4</t>
  </si>
  <si>
    <t>RB Raposo Tavares</t>
  </si>
  <si>
    <t>RB Cali</t>
  </si>
  <si>
    <t>S.P.L Copacker</t>
  </si>
  <si>
    <t>Chemisol Copacker</t>
  </si>
  <si>
    <t>Kasema Copacker</t>
  </si>
  <si>
    <t>CND4</t>
  </si>
  <si>
    <t>ENA B.V. - East Gadget Hygiene, China</t>
  </si>
  <si>
    <t>Third parties, not RB factories</t>
  </si>
  <si>
    <t>Guala</t>
  </si>
  <si>
    <t>Dierbergeer</t>
  </si>
  <si>
    <t>Chemiergonics</t>
  </si>
  <si>
    <t>Oxiteno</t>
  </si>
  <si>
    <t>Thor</t>
  </si>
  <si>
    <t>Troy</t>
  </si>
  <si>
    <t>Vertellus</t>
  </si>
  <si>
    <t>Alpla India</t>
  </si>
  <si>
    <t>Firmenich - Brasil</t>
  </si>
  <si>
    <t>Megh</t>
  </si>
  <si>
    <t>Type</t>
  </si>
  <si>
    <t>VENDOR</t>
  </si>
  <si>
    <t>N° VENDOR</t>
  </si>
  <si>
    <t>BUSSINES</t>
  </si>
  <si>
    <t>EMB</t>
  </si>
  <si>
    <t>KASEMA S.A</t>
  </si>
  <si>
    <t>Copackers</t>
  </si>
  <si>
    <t>JOSE GUMA</t>
  </si>
  <si>
    <t>SOCIEDAD PUNTA DE LOBOS</t>
  </si>
  <si>
    <t>Chemisol India Pvt ltd</t>
  </si>
  <si>
    <t>_</t>
  </si>
  <si>
    <t>TRANSPORT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</si>
</sst>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8"/>
      <color rgb="FF000000"/>
      <name val="Trebuchet MS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FF"/>
        <bgColor theme="4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9" fillId="6" borderId="5" applyNumberFormat="0" applyAlignment="0" applyProtection="0"/>
    <xf numFmtId="0" fontId="2" fillId="7" borderId="6" applyNumberFormat="0" applyAlignment="0" applyProtection="0"/>
    <xf numFmtId="0" fontId="11" fillId="12" borderId="0" applyNumberFormat="0" applyBorder="0" applyAlignment="0" applyProtection="0"/>
  </cellStyleXfs>
  <cellXfs count="8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4" fillId="3" borderId="2" xfId="1" applyNumberFormat="1" applyFont="1" applyFill="1" applyBorder="1" applyAlignment="1"/>
    <xf numFmtId="0" fontId="4" fillId="3" borderId="2" xfId="1" applyNumberFormat="1" applyFont="1" applyFill="1" applyBorder="1" applyAlignme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justify" vertical="center"/>
    </xf>
    <xf numFmtId="49" fontId="6" fillId="3" borderId="2" xfId="0" applyNumberFormat="1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/>
    <xf numFmtId="0" fontId="5" fillId="4" borderId="2" xfId="0" applyFont="1" applyFill="1" applyBorder="1" applyAlignment="1">
      <alignment horizontal="justify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4" fillId="4" borderId="2" xfId="1" applyNumberFormat="1" applyFont="1" applyFill="1" applyBorder="1" applyAlignment="1"/>
    <xf numFmtId="0" fontId="6" fillId="4" borderId="2" xfId="0" applyFont="1" applyFill="1" applyBorder="1" applyAlignment="1">
      <alignment horizontal="center"/>
    </xf>
    <xf numFmtId="0" fontId="7" fillId="4" borderId="2" xfId="1" applyNumberFormat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4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2" fillId="5" borderId="0" xfId="0" applyFont="1" applyFill="1" applyAlignment="1">
      <alignment horizontal="center" vertical="center"/>
    </xf>
    <xf numFmtId="49" fontId="0" fillId="0" borderId="0" xfId="0" applyNumberFormat="1"/>
    <xf numFmtId="0" fontId="0" fillId="0" borderId="0" xfId="0" quotePrefix="1"/>
    <xf numFmtId="0" fontId="0" fillId="0" borderId="2" xfId="0" applyBorder="1"/>
    <xf numFmtId="0" fontId="6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/>
    </xf>
    <xf numFmtId="0" fontId="2" fillId="7" borderId="6" xfId="3" applyAlignment="1">
      <alignment horizontal="center" vertical="center"/>
    </xf>
    <xf numFmtId="49" fontId="2" fillId="7" borderId="6" xfId="3" applyNumberFormat="1" applyAlignment="1">
      <alignment horizontal="center" vertical="center"/>
    </xf>
    <xf numFmtId="0" fontId="10" fillId="9" borderId="0" xfId="0" applyFont="1" applyFill="1"/>
    <xf numFmtId="0" fontId="0" fillId="10" borderId="0" xfId="0" applyFill="1"/>
    <xf numFmtId="0" fontId="2" fillId="11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7" xfId="0" applyBorder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11" fillId="12" borderId="0" xfId="4" applyAlignment="1">
      <alignment horizontal="center" vertical="center"/>
    </xf>
    <xf numFmtId="0" fontId="0" fillId="13" borderId="0" xfId="0" applyFill="1" applyAlignment="1">
      <alignment vertical="top"/>
    </xf>
    <xf numFmtId="0" fontId="13" fillId="14" borderId="11" xfId="0" applyFont="1" applyFill="1" applyBorder="1" applyAlignment="1">
      <alignment horizontal="left" vertical="top" wrapText="1"/>
    </xf>
    <xf numFmtId="0" fontId="13" fillId="14" borderId="1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4" fillId="14" borderId="16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4" fillId="14" borderId="16" xfId="0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center" vertical="center" wrapText="1"/>
    </xf>
    <xf numFmtId="0" fontId="11" fillId="12" borderId="0" xfId="4" applyBorder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/>
    </xf>
    <xf numFmtId="165" fontId="4" fillId="15" borderId="2" xfId="1" applyNumberFormat="1" applyFont="1" applyFill="1" applyBorder="1" applyAlignment="1"/>
    <xf numFmtId="0" fontId="9" fillId="6" borderId="14" xfId="2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16" fillId="17" borderId="0" xfId="0" applyFont="1" applyFill="1" applyAlignment="1">
      <alignment horizontal="right"/>
    </xf>
    <xf numFmtId="0" fontId="16" fillId="17" borderId="0" xfId="0" applyFont="1" applyFill="1" applyAlignment="1">
      <alignment horizontal="left"/>
    </xf>
    <xf numFmtId="0" fontId="16" fillId="17" borderId="2" xfId="0" applyFont="1" applyFill="1" applyBorder="1"/>
    <xf numFmtId="0" fontId="16" fillId="16" borderId="0" xfId="0" applyFont="1" applyFill="1" applyAlignment="1">
      <alignment horizontal="right"/>
    </xf>
    <xf numFmtId="0" fontId="16" fillId="16" borderId="0" xfId="0" applyFont="1" applyFill="1" applyAlignment="1">
      <alignment horizontal="left"/>
    </xf>
    <xf numFmtId="0" fontId="16" fillId="16" borderId="2" xfId="0" applyFont="1" applyFill="1" applyBorder="1"/>
    <xf numFmtId="0" fontId="16" fillId="18" borderId="0" xfId="0" applyFont="1" applyFill="1" applyAlignment="1">
      <alignment horizontal="right"/>
    </xf>
    <xf numFmtId="0" fontId="16" fillId="18" borderId="0" xfId="0" applyFont="1" applyFill="1" applyAlignment="1">
      <alignment horizontal="left"/>
    </xf>
    <xf numFmtId="0" fontId="16" fillId="18" borderId="2" xfId="0" applyFont="1" applyFill="1" applyBorder="1"/>
    <xf numFmtId="0" fontId="10" fillId="0" borderId="0" xfId="0" applyFont="1"/>
    <xf numFmtId="49" fontId="6" fillId="4" borderId="2" xfId="0" applyNumberFormat="1" applyFont="1" applyFill="1" applyBorder="1" applyAlignment="1">
      <alignment horizontal="center"/>
    </xf>
    <xf numFmtId="49" fontId="7" fillId="4" borderId="2" xfId="1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49" fontId="6" fillId="4" borderId="2" xfId="0" applyNumberFormat="1" applyFont="1" applyFill="1" applyBorder="1" applyAlignment="1">
      <alignment horizontal="center" vertical="center"/>
    </xf>
    <xf numFmtId="0" fontId="9" fillId="6" borderId="13" xfId="2" applyBorder="1" applyAlignment="1">
      <alignment horizontal="center" vertical="center"/>
    </xf>
    <xf numFmtId="0" fontId="9" fillId="6" borderId="14" xfId="2" applyBorder="1" applyAlignment="1">
      <alignment horizontal="center" vertical="center"/>
    </xf>
    <xf numFmtId="0" fontId="9" fillId="6" borderId="15" xfId="2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top" wrapText="1"/>
    </xf>
    <xf numFmtId="0" fontId="12" fillId="14" borderId="0" xfId="0" applyFont="1" applyFill="1" applyAlignment="1">
      <alignment horizontal="center" vertical="top" wrapText="1"/>
    </xf>
    <xf numFmtId="0" fontId="13" fillId="14" borderId="8" xfId="0" applyFont="1" applyFill="1" applyBorder="1" applyAlignment="1">
      <alignment horizontal="center" vertical="top" wrapText="1"/>
    </xf>
    <xf numFmtId="0" fontId="13" fillId="14" borderId="9" xfId="0" applyFont="1" applyFill="1" applyBorder="1" applyAlignment="1">
      <alignment horizontal="center" vertical="top" wrapText="1"/>
    </xf>
    <xf numFmtId="0" fontId="13" fillId="14" borderId="10" xfId="0" applyFont="1" applyFill="1" applyBorder="1" applyAlignment="1">
      <alignment horizontal="center" vertical="top" wrapText="1"/>
    </xf>
  </cellXfs>
  <cellStyles count="5">
    <cellStyle name="Celda de comprobación" xfId="3" builtinId="23"/>
    <cellStyle name="Entrada" xfId="2" builtinId="20"/>
    <cellStyle name="Incorrecto" xfId="4" builtinId="27"/>
    <cellStyle name="Moneda" xfId="1" builtinId="4"/>
    <cellStyle name="Normal" xfId="0" builtinId="0"/>
  </cellStyles>
  <dxfs count="45">
    <dxf>
      <numFmt numFmtId="0" formatCode="General"/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0" formatCode="@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border diagonalUp="0" diagonalDown="0">
        <left/>
        <right style="thin">
          <color theme="8"/>
        </right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rebuchet MS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justify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 &quot;$&quot;\ * #,##0.00_ ;_ &quot;$&quot;\ * \-#,##0.00_ ;_ &quot;$&quot;\ * &quot;-&quot;??_ ;_ @_ "/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medium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0" formatCode="@"/>
    </dxf>
    <dxf>
      <numFmt numFmtId="0" formatCode="General"/>
      <border diagonalUp="0" diagonalDown="0">
        <left/>
        <right style="thin">
          <color theme="8"/>
        </right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rebuchet MS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justify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 &quot;$&quot;\ * #,##0.00_ ;_ &quot;$&quot;\ * \-#,##0.00_ ;_ &quot;$&quot;\ * &quot;-&quot;??_ ;_ @_ "/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97C6D9-5D90-4CB6-91F3-031BFD994172}" name="Tabla14" displayName="Tabla14" ref="B2:W207" totalsRowShown="0" headerRowDxfId="28" tableBorderDxfId="27">
  <autoFilter ref="B2:W207" xr:uid="{7797C6D9-5D90-4CB6-91F3-031BFD994172}">
    <filterColumn colId="0">
      <filters>
        <filter val="Cap - GBA"/>
      </filters>
    </filterColumn>
  </autoFilter>
  <sortState xmlns:xlrd2="http://schemas.microsoft.com/office/spreadsheetml/2017/richdata2" ref="B3:V206">
    <sortCondition descending="1" ref="E2:E206"/>
  </sortState>
  <tableColumns count="22">
    <tableColumn id="1" xr3:uid="{DE553159-00FB-495C-ACC4-27D2B86BE70B}" name="RUT" dataDxfId="26"/>
    <tableColumn id="2" xr3:uid="{E6D2E4EE-FB9C-4F9B-9579-405528A8E1D8}" name="&amp;ZONA (Parada) Base ICDRB" dataDxfId="25"/>
    <tableColumn id="3" xr3:uid="{69F03761-8D93-4E0C-84BF-F538D7861607}" name="&amp;ZONA (Parada) Para tarifario"/>
    <tableColumn id="4" xr3:uid="{B85EE3FD-7762-4B7B-9737-DEE98C4F81F3}" name="Provincia" dataDxfId="24"/>
    <tableColumn id="5" xr3:uid="{27CF84B0-9D47-4E32-A3AD-22EBD7A4256D}" name="Ruta" dataDxfId="23"/>
    <tableColumn id="6" xr3:uid="{A128DAF7-16B8-47AA-968F-B87FB4289ACD}" name="ZONA" dataDxfId="22"/>
    <tableColumn id="7" xr3:uid="{355777B2-F220-4D7B-A2A9-C9DA2D29005D}" name="Parada" dataDxfId="21"/>
    <tableColumn id="15" xr3:uid="{B0363BB3-1A4D-4B28-AEB8-0344349D93BC}" name="ABR_01" dataDxfId="20"/>
    <tableColumn id="16" xr3:uid="{253F4CED-CA1D-4770-B9F6-29E86E7F7E62}" name="ABR_02" dataDxfId="19"/>
    <tableColumn id="17" xr3:uid="{1F30E8A9-2484-407D-8F15-50BE7E2B6995}" name="ZONA2" dataDxfId="18"/>
    <tableColumn id="20" xr3:uid="{440097CD-BA18-4AB2-9B27-3126530135A5}" name="PARADA2" dataDxfId="17"/>
    <tableColumn id="8" xr3:uid="{44E96BFF-4446-45FD-9681-BF7B9053759D}" name="FROM" dataDxfId="16"/>
    <tableColumn id="9" xr3:uid="{111C21D9-A587-4124-BD4D-E336EF92A8E5}" name="TO" dataDxfId="15">
      <calculatedColumnFormula>Tabla14[[#This Row],[ABR_02]]</calculatedColumnFormula>
    </tableColumn>
    <tableColumn id="10" xr3:uid="{0CC12F5E-7F96-4DB7-BC17-F6F3674FFD0F}" name="Pick Pack"/>
    <tableColumn id="11" xr3:uid="{C59407AB-941F-4F19-B5E0-F3ADE930ACFA}" name="Shipping condition"/>
    <tableColumn id="12" xr3:uid="{DF5A9CE3-CAAF-480D-8AA3-1D3F0A5ADCDD}" name="Transit time"/>
    <tableColumn id="21" xr3:uid="{E7D8A0F2-5DCB-41A8-AE33-D318CE66D3E2}" name="Transport Zone 1"/>
    <tableColumn id="13" xr3:uid="{2C2C9AA7-9461-4931-BDDA-5021B931000C}" name="Transport Zone 2" dataDxfId="14">
      <calculatedColumnFormula>_xlfn.CONCAT(Tabla14[[#This Row],[ABR_01]],"X",Tabla14[[#This Row],[ABR_02]],Tabla14[[#This Row],[ZONA2]],,"X",Tabla14[[#This Row],[PARADA2]])</calculatedColumnFormula>
    </tableColumn>
    <tableColumn id="19" xr3:uid="{BE11BE9A-9922-44CF-9C70-82EB84A3A261}" name="Ruta2" dataDxfId="13">
      <calculatedColumnFormula>Tabla14[[#This Row],[ABR_01]]&amp;Tabla14[[#This Row],[ABR_02]]&amp;Tabla14[[#This Row],[PARADA2]]</calculatedColumnFormula>
    </tableColumn>
    <tableColumn id="14" xr3:uid="{6155EA34-B8C7-49F9-8354-93346F57EA1B}" name="Health"/>
    <tableColumn id="18" xr3:uid="{A7D9AB91-F9E5-4EDE-B2E1-20607A5A3717}" name="Hyho" dataDxfId="12"/>
    <tableColumn id="22" xr3:uid="{206E9E4C-5E75-414A-941B-DCB160ADE31E}" name="Columna1" dataDxfId="11">
      <calculatedColumnFormula>LEN(Tabla14[[#This Row],[Transport Zone 2]])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A6B61-55E1-474B-9497-B01E81927441}" name="Tabla1" displayName="Tabla1" ref="B2:U206" totalsRowShown="0" headerRowDxfId="44" tableBorderDxfId="43">
  <tableColumns count="20">
    <tableColumn id="1" xr3:uid="{E571431F-96AB-4D3C-989B-528AAD4DB8F5}" name="RUT" dataDxfId="42"/>
    <tableColumn id="2" xr3:uid="{80CD2690-8A71-4824-90C3-6F0BEA95093E}" name="&amp;ZONA (Parada) Base ICDRB" dataDxfId="41"/>
    <tableColumn id="3" xr3:uid="{661895B1-4ADB-49CD-8ACE-8BAB9B044AE9}" name="&amp;ZONA (Parada) Para tarifario"/>
    <tableColumn id="4" xr3:uid="{BB4537AD-24F6-4E41-89F5-2FE170001E3D}" name="Provincia" dataDxfId="40"/>
    <tableColumn id="5" xr3:uid="{BB14FFBA-4424-4EC9-B782-575E284C2F79}" name="Ruta" dataDxfId="39"/>
    <tableColumn id="6" xr3:uid="{2A18F1D8-C159-4DE8-A381-025EC4221DA4}" name="ZONA" dataDxfId="38"/>
    <tableColumn id="7" xr3:uid="{212421F8-BD11-4027-86B9-17E1869A0C56}" name="Parada" dataDxfId="37"/>
    <tableColumn id="15" xr3:uid="{96F7F598-6FCD-4A4F-ACF1-19FEAA9A4BB0}" name="ABR_01" dataDxfId="36"/>
    <tableColumn id="16" xr3:uid="{48C23309-A6F9-4090-9257-6E883042445E}" name="ABR_02" dataDxfId="35"/>
    <tableColumn id="17" xr3:uid="{95549200-C5F8-4677-9E35-E115C5A7E989}" name="ZONA2" dataDxfId="34"/>
    <tableColumn id="20" xr3:uid="{96EBC7D3-BFE3-4C99-AE4C-3A6FFEBF6141}" name="PARADA2" dataDxfId="33"/>
    <tableColumn id="8" xr3:uid="{76501D8C-F192-4E8A-9C65-038085A99DE9}" name="FROM" dataDxfId="32"/>
    <tableColumn id="9" xr3:uid="{75666266-3EAF-4B19-9E77-4761F567250D}" name="TO" dataDxfId="31">
      <calculatedColumnFormula>Tabla1[[#This Row],[ABR_02]]</calculatedColumnFormula>
    </tableColumn>
    <tableColumn id="10" xr3:uid="{FA7B358C-CF7E-46E8-BA11-089B85915EFC}" name="Pick Pack"/>
    <tableColumn id="11" xr3:uid="{F37C5C88-8ECA-4384-9384-90B9C13B95AF}" name="Shipping condition"/>
    <tableColumn id="12" xr3:uid="{C78361C6-CB16-4314-A799-E7D2BE7515F1}" name="Transit time"/>
    <tableColumn id="13" xr3:uid="{36B2253A-4971-4D26-B850-0D2E1C091ED1}" name="TRANSPORT ZONE" dataDxfId="0">
      <calculatedColumnFormula>_xlfn.CONCAT(Tabla1[[#This Row],[ABR_01]],"00",Tabla1[[#This Row],[ABR_02]],Tabla1[[#This Row],[ZONA2]],,"0",Tabla1[[#This Row],[PARADA2]])</calculatedColumnFormula>
    </tableColumn>
    <tableColumn id="14" xr3:uid="{F315CD1B-BADF-4439-A25D-64B1A0D8B70E}" name="Health"/>
    <tableColumn id="18" xr3:uid="{85B3DEC0-ADBB-44EB-8492-F106AC4F5EDA}" name="Hyho" dataDxfId="30"/>
    <tableColumn id="19" xr3:uid="{34AFDCC6-3A11-4CE7-83CE-56C30B8B9B9E}" name="Ruta_SAP" dataDxfId="2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EB59E8-67AE-4EF5-BF8A-7FB54CFA196C}" name="Tabla2" displayName="Tabla2" ref="C3:F9" totalsRowShown="0">
  <tableColumns count="4">
    <tableColumn id="1" xr3:uid="{D1F255C9-9C94-4116-90C7-C78C751E60E1}" name="Type"/>
    <tableColumn id="2" xr3:uid="{647243D3-40CB-4146-B756-E2E7C85716A7}" name="VENDOR"/>
    <tableColumn id="4" xr3:uid="{31F61FE5-CE73-4476-9C1E-368D48A5A0E9}" name="N° VENDOR"/>
    <tableColumn id="3" xr3:uid="{62119DA1-363F-4E26-ACD6-EF9613CEC850}" name="BUSSINE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4CAE-8A5D-4552-807B-B408E701DD62}">
  <dimension ref="A1:AM1048571"/>
  <sheetViews>
    <sheetView showGridLines="0" zoomScaleNormal="100" workbookViewId="0">
      <selection activeCell="S160" sqref="S160"/>
    </sheetView>
  </sheetViews>
  <sheetFormatPr baseColWidth="10" defaultColWidth="11.5" defaultRowHeight="15" x14ac:dyDescent="0.2"/>
  <cols>
    <col min="2" max="2" width="8.83203125" bestFit="1" customWidth="1"/>
    <col min="3" max="3" width="29.5" bestFit="1" customWidth="1"/>
    <col min="4" max="4" width="31.1640625" bestFit="1" customWidth="1"/>
    <col min="5" max="5" width="45.6640625" bestFit="1" customWidth="1"/>
    <col min="6" max="6" width="9.33203125" hidden="1" customWidth="1"/>
    <col min="7" max="7" width="10.33203125" hidden="1" customWidth="1"/>
    <col min="8" max="8" width="11.33203125" hidden="1" customWidth="1"/>
    <col min="9" max="10" width="11.83203125" hidden="1" customWidth="1"/>
    <col min="11" max="11" width="11.33203125" style="21" hidden="1" customWidth="1"/>
    <col min="12" max="12" width="13.5" style="21" hidden="1" customWidth="1"/>
    <col min="13" max="13" width="10.5" hidden="1" customWidth="1"/>
    <col min="14" max="14" width="7.6640625" hidden="1" customWidth="1"/>
    <col min="15" max="15" width="13.33203125" hidden="1" customWidth="1"/>
    <col min="16" max="16" width="21.33203125" hidden="1" customWidth="1"/>
    <col min="17" max="18" width="15.33203125" hidden="1" customWidth="1"/>
    <col min="19" max="19" width="18.33203125" bestFit="1" customWidth="1"/>
    <col min="20" max="20" width="10.83203125" customWidth="1"/>
    <col min="21" max="21" width="10.83203125" bestFit="1" customWidth="1"/>
    <col min="22" max="22" width="9.83203125" style="21" bestFit="1" customWidth="1"/>
    <col min="27" max="27" width="5.1640625" bestFit="1" customWidth="1"/>
    <col min="28" max="28" width="6.1640625" bestFit="1" customWidth="1"/>
    <col min="29" max="29" width="7.33203125" bestFit="1" customWidth="1"/>
    <col min="37" max="37" width="11.5" bestFit="1" customWidth="1"/>
    <col min="38" max="38" width="5" bestFit="1" customWidth="1"/>
    <col min="39" max="39" width="4" bestFit="1" customWidth="1"/>
  </cols>
  <sheetData>
    <row r="1" spans="2:39" ht="16" thickBot="1" x14ac:dyDescent="0.25">
      <c r="D1" s="28"/>
      <c r="M1" s="74" t="s">
        <v>0</v>
      </c>
      <c r="N1" s="75"/>
      <c r="O1" s="75"/>
      <c r="P1" s="75"/>
      <c r="Q1" s="75"/>
      <c r="R1" s="75"/>
      <c r="S1" s="76"/>
      <c r="T1" s="57"/>
      <c r="U1" s="74" t="s">
        <v>1</v>
      </c>
      <c r="V1" s="75"/>
    </row>
    <row r="2" spans="2:39" ht="17" thickTop="1" thickBot="1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6" t="s">
        <v>9</v>
      </c>
      <c r="J2" s="26" t="s">
        <v>10</v>
      </c>
      <c r="K2" s="27" t="s">
        <v>11</v>
      </c>
      <c r="L2" s="27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0" t="s">
        <v>17</v>
      </c>
      <c r="R2" s="30" t="s">
        <v>18</v>
      </c>
      <c r="S2" s="30" t="s">
        <v>19</v>
      </c>
      <c r="T2" s="30" t="s">
        <v>20</v>
      </c>
      <c r="U2" s="35" t="s">
        <v>21</v>
      </c>
      <c r="V2" s="36" t="s">
        <v>22</v>
      </c>
      <c r="W2" s="35" t="s">
        <v>23</v>
      </c>
      <c r="AA2" s="41"/>
      <c r="AB2" s="41"/>
      <c r="AC2" s="41"/>
    </row>
    <row r="3" spans="2:39" ht="16" hidden="1" thickTop="1" x14ac:dyDescent="0.2">
      <c r="B3" s="19" t="s">
        <v>24</v>
      </c>
      <c r="C3" s="8" t="s">
        <v>25</v>
      </c>
      <c r="D3" s="8" t="s">
        <v>25</v>
      </c>
      <c r="E3" s="9" t="s">
        <v>26</v>
      </c>
      <c r="F3" s="10"/>
      <c r="G3" s="13"/>
      <c r="H3" s="10"/>
      <c r="I3" s="24" t="s">
        <v>27</v>
      </c>
      <c r="J3" s="24" t="s">
        <v>28</v>
      </c>
      <c r="K3" s="25" t="s">
        <v>29</v>
      </c>
      <c r="L3" s="25" t="s">
        <v>30</v>
      </c>
      <c r="M3" s="15" t="s">
        <v>31</v>
      </c>
      <c r="N3" s="16" t="str">
        <f>Tabla14[[#This Row],[ABR_02]]</f>
        <v>UR</v>
      </c>
      <c r="O3" t="s">
        <v>32</v>
      </c>
      <c r="P3" t="s">
        <v>33</v>
      </c>
      <c r="Q3" t="s">
        <v>34</v>
      </c>
      <c r="R3" t="s">
        <v>35</v>
      </c>
      <c r="S3" t="str">
        <f>_xlfn.CONCAT(Tabla14[[#This Row],[ABR_01]],"X",Tabla14[[#This Row],[ABR_02]],Tabla14[[#This Row],[ZONA2]],,"X",Tabla14[[#This Row],[PARADA2]])</f>
        <v>ARXUR1X01</v>
      </c>
      <c r="T3" t="str">
        <f>Tabla14[[#This Row],[ABR_01]]&amp;Tabla14[[#This Row],[ABR_02]]&amp;Tabla14[[#This Row],[PARADA2]]</f>
        <v>ARUR01</v>
      </c>
      <c r="U3" s="37" t="s">
        <v>36</v>
      </c>
      <c r="V3" s="37" t="s">
        <v>36</v>
      </c>
      <c r="W3">
        <f>LEN(Tabla14[[#This Row],[Transport Zone 2]])</f>
        <v>9</v>
      </c>
      <c r="AA3" s="42"/>
      <c r="AB3" s="43"/>
      <c r="AC3" s="42"/>
      <c r="AK3" t="s">
        <v>37</v>
      </c>
      <c r="AL3" t="s">
        <v>38</v>
      </c>
      <c r="AM3" s="22" t="s">
        <v>39</v>
      </c>
    </row>
    <row r="4" spans="2:39" ht="16" hidden="1" thickTop="1" x14ac:dyDescent="0.2">
      <c r="B4" s="19" t="s">
        <v>40</v>
      </c>
      <c r="C4" s="8" t="s">
        <v>41</v>
      </c>
      <c r="D4" s="17" t="s">
        <v>41</v>
      </c>
      <c r="E4" s="9" t="s">
        <v>42</v>
      </c>
      <c r="F4" s="10" t="s">
        <v>43</v>
      </c>
      <c r="G4" s="14">
        <v>299</v>
      </c>
      <c r="H4" s="10">
        <v>906</v>
      </c>
      <c r="I4" s="24" t="s">
        <v>27</v>
      </c>
      <c r="J4" s="24" t="s">
        <v>44</v>
      </c>
      <c r="K4" s="25" t="s">
        <v>29</v>
      </c>
      <c r="L4" s="25" t="s">
        <v>30</v>
      </c>
      <c r="M4" s="15" t="s">
        <v>31</v>
      </c>
      <c r="N4" s="16" t="str">
        <f>Tabla14[[#This Row],[ABR_02]]</f>
        <v>NQ</v>
      </c>
      <c r="O4" t="s">
        <v>32</v>
      </c>
      <c r="P4" t="s">
        <v>33</v>
      </c>
      <c r="Q4" t="s">
        <v>32</v>
      </c>
      <c r="R4" t="s">
        <v>35</v>
      </c>
      <c r="S4" t="str">
        <f>_xlfn.CONCAT(Tabla14[[#This Row],[ABR_01]],"X",Tabla14[[#This Row],[ABR_02]],Tabla14[[#This Row],[ZONA2]],,"X",Tabla14[[#This Row],[PARADA2]])</f>
        <v>ARXNQ1X01</v>
      </c>
      <c r="T4" t="str">
        <f>Tabla14[[#This Row],[ABR_01]]&amp;Tabla14[[#This Row],[ABR_02]]&amp;Tabla14[[#This Row],[PARADA2]]</f>
        <v>ARNQ01</v>
      </c>
      <c r="U4" s="37" t="s">
        <v>36</v>
      </c>
      <c r="V4" s="37" t="s">
        <v>36</v>
      </c>
      <c r="W4">
        <f>LEN(Tabla14[[#This Row],[Transport Zone 2]])</f>
        <v>9</v>
      </c>
      <c r="AA4" s="42"/>
      <c r="AB4" s="43"/>
      <c r="AC4" s="42"/>
      <c r="AK4" t="str">
        <f>AK3&amp;AL3&amp;AM3</f>
        <v>ARG_01_001</v>
      </c>
    </row>
    <row r="5" spans="2:39" ht="16" hidden="1" thickTop="1" x14ac:dyDescent="0.2">
      <c r="B5" s="19" t="s">
        <v>40</v>
      </c>
      <c r="C5" s="8" t="s">
        <v>45</v>
      </c>
      <c r="D5" s="17" t="s">
        <v>45</v>
      </c>
      <c r="E5" s="9" t="s">
        <v>42</v>
      </c>
      <c r="F5" s="10" t="s">
        <v>43</v>
      </c>
      <c r="G5" s="14">
        <v>299</v>
      </c>
      <c r="H5" s="10">
        <v>904</v>
      </c>
      <c r="I5" s="24" t="s">
        <v>27</v>
      </c>
      <c r="J5" s="24" t="s">
        <v>44</v>
      </c>
      <c r="K5" s="25" t="s">
        <v>29</v>
      </c>
      <c r="L5" s="25" t="s">
        <v>46</v>
      </c>
      <c r="M5" s="15" t="s">
        <v>31</v>
      </c>
      <c r="N5" s="16" t="str">
        <f>Tabla14[[#This Row],[ABR_02]]</f>
        <v>NQ</v>
      </c>
      <c r="O5" t="s">
        <v>32</v>
      </c>
      <c r="P5" t="s">
        <v>33</v>
      </c>
      <c r="Q5" t="s">
        <v>32</v>
      </c>
      <c r="R5" t="s">
        <v>35</v>
      </c>
      <c r="S5" t="str">
        <f>_xlfn.CONCAT(Tabla14[[#This Row],[ABR_01]],"X",Tabla14[[#This Row],[ABR_02]],Tabla14[[#This Row],[ZONA2]],,"X",Tabla14[[#This Row],[PARADA2]])</f>
        <v>ARXNQ1X02</v>
      </c>
      <c r="T5" t="str">
        <f>Tabla14[[#This Row],[ABR_01]]&amp;Tabla14[[#This Row],[ABR_02]]&amp;Tabla14[[#This Row],[PARADA2]]</f>
        <v>ARNQ02</v>
      </c>
      <c r="U5" s="37" t="s">
        <v>36</v>
      </c>
      <c r="V5" s="37" t="s">
        <v>36</v>
      </c>
      <c r="W5">
        <f>LEN(Tabla14[[#This Row],[Transport Zone 2]])</f>
        <v>9</v>
      </c>
      <c r="AA5" s="42"/>
      <c r="AB5" s="43"/>
      <c r="AC5" s="44"/>
    </row>
    <row r="6" spans="2:39" ht="16" hidden="1" thickTop="1" x14ac:dyDescent="0.2">
      <c r="B6" s="19" t="s">
        <v>40</v>
      </c>
      <c r="C6" s="8" t="s">
        <v>47</v>
      </c>
      <c r="D6" s="17" t="s">
        <v>47</v>
      </c>
      <c r="E6" s="9" t="s">
        <v>42</v>
      </c>
      <c r="F6" s="10" t="s">
        <v>43</v>
      </c>
      <c r="G6" s="14">
        <v>299</v>
      </c>
      <c r="H6" s="10">
        <v>920</v>
      </c>
      <c r="I6" s="24" t="s">
        <v>27</v>
      </c>
      <c r="J6" s="24" t="s">
        <v>44</v>
      </c>
      <c r="K6" s="25" t="s">
        <v>29</v>
      </c>
      <c r="L6" s="25" t="s">
        <v>48</v>
      </c>
      <c r="M6" s="15" t="s">
        <v>31</v>
      </c>
      <c r="N6" s="16" t="str">
        <f>Tabla14[[#This Row],[ABR_02]]</f>
        <v>NQ</v>
      </c>
      <c r="O6" t="s">
        <v>32</v>
      </c>
      <c r="P6" t="s">
        <v>33</v>
      </c>
      <c r="Q6" t="s">
        <v>32</v>
      </c>
      <c r="R6" t="s">
        <v>35</v>
      </c>
      <c r="S6" t="str">
        <f>_xlfn.CONCAT(Tabla14[[#This Row],[ABR_01]],"X",Tabla14[[#This Row],[ABR_02]],Tabla14[[#This Row],[ZONA2]],,"X",Tabla14[[#This Row],[PARADA2]])</f>
        <v>ARXNQ1X03</v>
      </c>
      <c r="T6" t="str">
        <f>Tabla14[[#This Row],[ABR_01]]&amp;Tabla14[[#This Row],[ABR_02]]&amp;Tabla14[[#This Row],[PARADA2]]</f>
        <v>ARNQ03</v>
      </c>
      <c r="U6" s="37" t="s">
        <v>36</v>
      </c>
      <c r="V6" s="37" t="s">
        <v>36</v>
      </c>
      <c r="W6">
        <f>LEN(Tabla14[[#This Row],[Transport Zone 2]])</f>
        <v>9</v>
      </c>
      <c r="AA6" s="42"/>
      <c r="AB6" s="43"/>
      <c r="AC6" s="42"/>
    </row>
    <row r="7" spans="2:39" ht="16" hidden="1" thickTop="1" x14ac:dyDescent="0.2">
      <c r="B7" s="19" t="s">
        <v>40</v>
      </c>
      <c r="C7" s="8" t="s">
        <v>49</v>
      </c>
      <c r="D7" s="12" t="s">
        <v>50</v>
      </c>
      <c r="E7" s="9" t="s">
        <v>42</v>
      </c>
      <c r="F7" s="10" t="s">
        <v>43</v>
      </c>
      <c r="G7" s="14">
        <v>299</v>
      </c>
      <c r="H7" s="10">
        <v>914</v>
      </c>
      <c r="I7" s="24" t="s">
        <v>27</v>
      </c>
      <c r="J7" s="24" t="s">
        <v>44</v>
      </c>
      <c r="K7" s="25" t="s">
        <v>29</v>
      </c>
      <c r="L7" s="25" t="s">
        <v>51</v>
      </c>
      <c r="M7" s="15" t="s">
        <v>31</v>
      </c>
      <c r="N7" s="16" t="str">
        <f>Tabla14[[#This Row],[ABR_02]]</f>
        <v>NQ</v>
      </c>
      <c r="O7" t="s">
        <v>32</v>
      </c>
      <c r="P7" t="s">
        <v>33</v>
      </c>
      <c r="Q7" t="s">
        <v>32</v>
      </c>
      <c r="R7" t="s">
        <v>35</v>
      </c>
      <c r="S7" t="str">
        <f>_xlfn.CONCAT(Tabla14[[#This Row],[ABR_01]],"X",Tabla14[[#This Row],[ABR_02]],Tabla14[[#This Row],[ZONA2]],,"X",Tabla14[[#This Row],[PARADA2]])</f>
        <v>ARXNQ1X04</v>
      </c>
      <c r="T7" t="str">
        <f>Tabla14[[#This Row],[ABR_01]]&amp;Tabla14[[#This Row],[ABR_02]]&amp;Tabla14[[#This Row],[PARADA2]]</f>
        <v>ARNQ04</v>
      </c>
      <c r="U7" s="37" t="s">
        <v>36</v>
      </c>
      <c r="V7" s="37" t="s">
        <v>36</v>
      </c>
      <c r="W7">
        <f>LEN(Tabla14[[#This Row],[Transport Zone 2]])</f>
        <v>9</v>
      </c>
      <c r="AA7" s="42"/>
      <c r="AB7" s="43"/>
      <c r="AC7" s="42"/>
    </row>
    <row r="8" spans="2:39" ht="16" hidden="1" thickTop="1" x14ac:dyDescent="0.2">
      <c r="B8" s="19" t="s">
        <v>40</v>
      </c>
      <c r="C8" s="8" t="s">
        <v>52</v>
      </c>
      <c r="D8" s="12" t="s">
        <v>53</v>
      </c>
      <c r="E8" s="9" t="s">
        <v>54</v>
      </c>
      <c r="F8" s="10" t="s">
        <v>55</v>
      </c>
      <c r="G8" s="13">
        <v>356</v>
      </c>
      <c r="H8" s="10">
        <v>950</v>
      </c>
      <c r="I8" s="24" t="s">
        <v>27</v>
      </c>
      <c r="J8" s="24" t="s">
        <v>56</v>
      </c>
      <c r="K8" s="25" t="s">
        <v>29</v>
      </c>
      <c r="L8" s="25" t="s">
        <v>30</v>
      </c>
      <c r="M8" s="15" t="s">
        <v>31</v>
      </c>
      <c r="N8" s="16" t="str">
        <f>Tabla14[[#This Row],[ABR_02]]</f>
        <v>CT</v>
      </c>
      <c r="O8" t="s">
        <v>32</v>
      </c>
      <c r="P8" t="s">
        <v>33</v>
      </c>
      <c r="Q8" t="s">
        <v>57</v>
      </c>
      <c r="R8" t="s">
        <v>35</v>
      </c>
      <c r="S8" t="str">
        <f>_xlfn.CONCAT(Tabla14[[#This Row],[ABR_01]],"X",Tabla14[[#This Row],[ABR_02]],Tabla14[[#This Row],[ZONA2]],,"X",Tabla14[[#This Row],[PARADA2]])</f>
        <v>ARXCT1X01</v>
      </c>
      <c r="T8" t="str">
        <f>Tabla14[[#This Row],[ABR_01]]&amp;Tabla14[[#This Row],[ABR_02]]&amp;Tabla14[[#This Row],[PARADA2]]</f>
        <v>ARCT01</v>
      </c>
      <c r="U8" s="37" t="s">
        <v>36</v>
      </c>
      <c r="V8" s="37" t="s">
        <v>36</v>
      </c>
      <c r="W8">
        <f>LEN(Tabla14[[#This Row],[Transport Zone 2]])</f>
        <v>9</v>
      </c>
    </row>
    <row r="9" spans="2:39" ht="16" hidden="1" thickTop="1" x14ac:dyDescent="0.2">
      <c r="B9" s="19" t="s">
        <v>40</v>
      </c>
      <c r="C9" s="8" t="s">
        <v>58</v>
      </c>
      <c r="D9" s="12" t="s">
        <v>59</v>
      </c>
      <c r="E9" s="9" t="s">
        <v>54</v>
      </c>
      <c r="F9" s="10" t="s">
        <v>55</v>
      </c>
      <c r="G9" s="13">
        <v>356</v>
      </c>
      <c r="H9" s="10">
        <v>966</v>
      </c>
      <c r="I9" s="24" t="s">
        <v>27</v>
      </c>
      <c r="J9" s="24" t="s">
        <v>56</v>
      </c>
      <c r="K9" s="25" t="s">
        <v>29</v>
      </c>
      <c r="L9" s="25" t="s">
        <v>46</v>
      </c>
      <c r="M9" s="15" t="s">
        <v>31</v>
      </c>
      <c r="N9" s="16" t="str">
        <f>Tabla14[[#This Row],[ABR_02]]</f>
        <v>CT</v>
      </c>
      <c r="O9" t="s">
        <v>32</v>
      </c>
      <c r="P9" t="s">
        <v>33</v>
      </c>
      <c r="Q9" t="s">
        <v>57</v>
      </c>
      <c r="R9" t="s">
        <v>35</v>
      </c>
      <c r="S9" t="str">
        <f>_xlfn.CONCAT(Tabla14[[#This Row],[ABR_01]],"X",Tabla14[[#This Row],[ABR_02]],Tabla14[[#This Row],[ZONA2]],,"X",Tabla14[[#This Row],[PARADA2]])</f>
        <v>ARXCT1X02</v>
      </c>
      <c r="T9" t="str">
        <f>Tabla14[[#This Row],[ABR_01]]&amp;Tabla14[[#This Row],[ABR_02]]&amp;Tabla14[[#This Row],[PARADA2]]</f>
        <v>ARCT02</v>
      </c>
      <c r="U9" s="37" t="s">
        <v>36</v>
      </c>
      <c r="V9" s="37" t="s">
        <v>36</v>
      </c>
      <c r="W9">
        <f>LEN(Tabla14[[#This Row],[Transport Zone 2]])</f>
        <v>9</v>
      </c>
    </row>
    <row r="10" spans="2:39" ht="16" hidden="1" thickTop="1" x14ac:dyDescent="0.2">
      <c r="B10" s="19" t="s">
        <v>40</v>
      </c>
      <c r="C10" s="8" t="s">
        <v>60</v>
      </c>
      <c r="D10" s="17" t="s">
        <v>61</v>
      </c>
      <c r="E10" s="9" t="s">
        <v>54</v>
      </c>
      <c r="F10" s="10" t="s">
        <v>55</v>
      </c>
      <c r="G10" s="13">
        <v>356</v>
      </c>
      <c r="H10" s="10">
        <v>953</v>
      </c>
      <c r="I10" s="24" t="s">
        <v>27</v>
      </c>
      <c r="J10" s="24" t="s">
        <v>56</v>
      </c>
      <c r="K10" s="25" t="s">
        <v>29</v>
      </c>
      <c r="L10" s="25" t="s">
        <v>48</v>
      </c>
      <c r="M10" s="15" t="s">
        <v>31</v>
      </c>
      <c r="N10" s="16" t="str">
        <f>Tabla14[[#This Row],[ABR_02]]</f>
        <v>CT</v>
      </c>
      <c r="O10" t="s">
        <v>32</v>
      </c>
      <c r="P10" t="s">
        <v>33</v>
      </c>
      <c r="Q10" t="s">
        <v>57</v>
      </c>
      <c r="R10" t="s">
        <v>35</v>
      </c>
      <c r="S10" t="str">
        <f>_xlfn.CONCAT(Tabla14[[#This Row],[ABR_01]],"X",Tabla14[[#This Row],[ABR_02]],Tabla14[[#This Row],[ZONA2]],,"X",Tabla14[[#This Row],[PARADA2]])</f>
        <v>ARXCT1X03</v>
      </c>
      <c r="T10" t="str">
        <f>Tabla14[[#This Row],[ABR_01]]&amp;Tabla14[[#This Row],[ABR_02]]&amp;Tabla14[[#This Row],[PARADA2]]</f>
        <v>ARCT03</v>
      </c>
      <c r="U10" s="37" t="s">
        <v>36</v>
      </c>
      <c r="V10" s="37" t="s">
        <v>36</v>
      </c>
      <c r="W10">
        <f>LEN(Tabla14[[#This Row],[Transport Zone 2]])</f>
        <v>9</v>
      </c>
    </row>
    <row r="11" spans="2:39" ht="16" hidden="1" thickTop="1" x14ac:dyDescent="0.2">
      <c r="B11" s="19" t="s">
        <v>40</v>
      </c>
      <c r="C11" s="8" t="s">
        <v>62</v>
      </c>
      <c r="D11" s="17" t="s">
        <v>62</v>
      </c>
      <c r="E11" s="9" t="s">
        <v>54</v>
      </c>
      <c r="F11" s="10" t="s">
        <v>55</v>
      </c>
      <c r="G11" s="13">
        <v>356</v>
      </c>
      <c r="H11" s="10">
        <v>964</v>
      </c>
      <c r="I11" s="24" t="s">
        <v>27</v>
      </c>
      <c r="J11" s="24" t="s">
        <v>56</v>
      </c>
      <c r="K11" s="25" t="s">
        <v>29</v>
      </c>
      <c r="L11" s="25" t="s">
        <v>51</v>
      </c>
      <c r="M11" s="15" t="s">
        <v>31</v>
      </c>
      <c r="N11" s="16" t="str">
        <f>Tabla14[[#This Row],[ABR_02]]</f>
        <v>CT</v>
      </c>
      <c r="O11" t="s">
        <v>32</v>
      </c>
      <c r="P11" t="s">
        <v>33</v>
      </c>
      <c r="Q11" t="s">
        <v>57</v>
      </c>
      <c r="R11" t="s">
        <v>35</v>
      </c>
      <c r="S11" t="str">
        <f>_xlfn.CONCAT(Tabla14[[#This Row],[ABR_01]],"X",Tabla14[[#This Row],[ABR_02]],Tabla14[[#This Row],[ZONA2]],,"X",Tabla14[[#This Row],[PARADA2]])</f>
        <v>ARXCT1X04</v>
      </c>
      <c r="T11" t="str">
        <f>Tabla14[[#This Row],[ABR_01]]&amp;Tabla14[[#This Row],[ABR_02]]&amp;Tabla14[[#This Row],[PARADA2]]</f>
        <v>ARCT04</v>
      </c>
      <c r="U11" s="37" t="s">
        <v>36</v>
      </c>
      <c r="V11" s="37" t="s">
        <v>36</v>
      </c>
      <c r="W11">
        <f>LEN(Tabla14[[#This Row],[Transport Zone 2]])</f>
        <v>9</v>
      </c>
    </row>
    <row r="12" spans="2:39" ht="16" hidden="1" thickTop="1" x14ac:dyDescent="0.2">
      <c r="B12" s="19" t="s">
        <v>40</v>
      </c>
      <c r="C12" s="8" t="s">
        <v>63</v>
      </c>
      <c r="D12" s="12" t="s">
        <v>64</v>
      </c>
      <c r="E12" s="9" t="s">
        <v>54</v>
      </c>
      <c r="F12" s="10" t="s">
        <v>55</v>
      </c>
      <c r="G12" s="13">
        <v>356</v>
      </c>
      <c r="H12" s="10">
        <v>962</v>
      </c>
      <c r="I12" s="24" t="s">
        <v>27</v>
      </c>
      <c r="J12" s="24" t="s">
        <v>56</v>
      </c>
      <c r="K12" s="25" t="s">
        <v>29</v>
      </c>
      <c r="L12" s="25" t="s">
        <v>65</v>
      </c>
      <c r="M12" s="15" t="s">
        <v>31</v>
      </c>
      <c r="N12" s="16" t="str">
        <f>Tabla14[[#This Row],[ABR_02]]</f>
        <v>CT</v>
      </c>
      <c r="O12" t="s">
        <v>32</v>
      </c>
      <c r="P12" t="s">
        <v>33</v>
      </c>
      <c r="Q12" t="s">
        <v>57</v>
      </c>
      <c r="R12" t="s">
        <v>35</v>
      </c>
      <c r="S12" t="str">
        <f>_xlfn.CONCAT(Tabla14[[#This Row],[ABR_01]],"X",Tabla14[[#This Row],[ABR_02]],Tabla14[[#This Row],[ZONA2]],,"X",Tabla14[[#This Row],[PARADA2]])</f>
        <v>ARXCT1X05</v>
      </c>
      <c r="T12" t="str">
        <f>Tabla14[[#This Row],[ABR_01]]&amp;Tabla14[[#This Row],[ABR_02]]&amp;Tabla14[[#This Row],[PARADA2]]</f>
        <v>ARCT05</v>
      </c>
      <c r="U12" s="37" t="s">
        <v>36</v>
      </c>
      <c r="V12" s="37" t="s">
        <v>36</v>
      </c>
      <c r="W12">
        <f>LEN(Tabla14[[#This Row],[Transport Zone 2]])</f>
        <v>9</v>
      </c>
    </row>
    <row r="13" spans="2:39" ht="16" hidden="1" thickTop="1" x14ac:dyDescent="0.2">
      <c r="B13" s="19" t="s">
        <v>40</v>
      </c>
      <c r="C13" s="8" t="s">
        <v>66</v>
      </c>
      <c r="D13" s="17" t="s">
        <v>66</v>
      </c>
      <c r="E13" s="9" t="s">
        <v>54</v>
      </c>
      <c r="F13" s="10" t="s">
        <v>55</v>
      </c>
      <c r="G13" s="13">
        <v>356</v>
      </c>
      <c r="H13" s="10">
        <v>954</v>
      </c>
      <c r="I13" s="24" t="s">
        <v>27</v>
      </c>
      <c r="J13" s="24" t="s">
        <v>56</v>
      </c>
      <c r="K13" s="25" t="s">
        <v>29</v>
      </c>
      <c r="L13" s="25" t="s">
        <v>67</v>
      </c>
      <c r="M13" s="15" t="s">
        <v>31</v>
      </c>
      <c r="N13" s="16" t="str">
        <f>Tabla14[[#This Row],[ABR_02]]</f>
        <v>CT</v>
      </c>
      <c r="O13" t="s">
        <v>32</v>
      </c>
      <c r="P13" t="s">
        <v>33</v>
      </c>
      <c r="Q13" t="s">
        <v>57</v>
      </c>
      <c r="R13" t="s">
        <v>35</v>
      </c>
      <c r="S13" t="str">
        <f>_xlfn.CONCAT(Tabla14[[#This Row],[ABR_01]],"X",Tabla14[[#This Row],[ABR_02]],Tabla14[[#This Row],[ZONA2]],,"X",Tabla14[[#This Row],[PARADA2]])</f>
        <v>ARXCT1X06</v>
      </c>
      <c r="T13" t="str">
        <f>Tabla14[[#This Row],[ABR_01]]&amp;Tabla14[[#This Row],[ABR_02]]&amp;Tabla14[[#This Row],[PARADA2]]</f>
        <v>ARCT06</v>
      </c>
      <c r="U13" s="37" t="s">
        <v>36</v>
      </c>
      <c r="V13" s="37" t="s">
        <v>36</v>
      </c>
      <c r="W13">
        <f>LEN(Tabla14[[#This Row],[Transport Zone 2]])</f>
        <v>9</v>
      </c>
    </row>
    <row r="14" spans="2:39" ht="16" hidden="1" thickTop="1" x14ac:dyDescent="0.2">
      <c r="B14" s="19" t="s">
        <v>40</v>
      </c>
      <c r="C14" s="8" t="s">
        <v>68</v>
      </c>
      <c r="D14" s="12" t="s">
        <v>69</v>
      </c>
      <c r="E14" s="9" t="s">
        <v>54</v>
      </c>
      <c r="F14" s="10" t="s">
        <v>55</v>
      </c>
      <c r="G14" s="13">
        <v>356</v>
      </c>
      <c r="H14" s="10">
        <v>952</v>
      </c>
      <c r="I14" s="24" t="s">
        <v>27</v>
      </c>
      <c r="J14" s="24" t="s">
        <v>56</v>
      </c>
      <c r="K14" s="25" t="s">
        <v>29</v>
      </c>
      <c r="L14" s="25" t="s">
        <v>70</v>
      </c>
      <c r="M14" s="15" t="s">
        <v>31</v>
      </c>
      <c r="N14" s="16" t="str">
        <f>Tabla14[[#This Row],[ABR_02]]</f>
        <v>CT</v>
      </c>
      <c r="O14" t="s">
        <v>32</v>
      </c>
      <c r="P14" t="s">
        <v>33</v>
      </c>
      <c r="Q14" t="s">
        <v>57</v>
      </c>
      <c r="R14" t="s">
        <v>35</v>
      </c>
      <c r="S14" t="str">
        <f>_xlfn.CONCAT(Tabla14[[#This Row],[ABR_01]],"X",Tabla14[[#This Row],[ABR_02]],Tabla14[[#This Row],[ZONA2]],,"X",Tabla14[[#This Row],[PARADA2]])</f>
        <v>ARXCT1X07</v>
      </c>
      <c r="T14" t="str">
        <f>Tabla14[[#This Row],[ABR_01]]&amp;Tabla14[[#This Row],[ABR_02]]&amp;Tabla14[[#This Row],[PARADA2]]</f>
        <v>ARCT07</v>
      </c>
      <c r="U14" s="37" t="s">
        <v>36</v>
      </c>
      <c r="V14" s="37" t="s">
        <v>36</v>
      </c>
      <c r="W14">
        <f>LEN(Tabla14[[#This Row],[Transport Zone 2]])</f>
        <v>9</v>
      </c>
    </row>
    <row r="15" spans="2:39" ht="16" hidden="1" thickTop="1" x14ac:dyDescent="0.2">
      <c r="B15" s="19" t="s">
        <v>40</v>
      </c>
      <c r="C15" s="8" t="s">
        <v>71</v>
      </c>
      <c r="D15" s="12" t="s">
        <v>72</v>
      </c>
      <c r="E15" s="9" t="s">
        <v>54</v>
      </c>
      <c r="F15" s="10" t="s">
        <v>55</v>
      </c>
      <c r="G15" s="13">
        <v>356</v>
      </c>
      <c r="H15" s="10">
        <v>960</v>
      </c>
      <c r="I15" s="24" t="s">
        <v>27</v>
      </c>
      <c r="J15" s="24" t="s">
        <v>56</v>
      </c>
      <c r="K15" s="25" t="s">
        <v>29</v>
      </c>
      <c r="L15" s="25" t="s">
        <v>73</v>
      </c>
      <c r="M15" s="15" t="s">
        <v>31</v>
      </c>
      <c r="N15" s="16" t="str">
        <f>Tabla14[[#This Row],[ABR_02]]</f>
        <v>CT</v>
      </c>
      <c r="O15" t="s">
        <v>32</v>
      </c>
      <c r="P15" t="s">
        <v>33</v>
      </c>
      <c r="Q15" t="s">
        <v>57</v>
      </c>
      <c r="R15" t="s">
        <v>35</v>
      </c>
      <c r="S15" t="str">
        <f>_xlfn.CONCAT(Tabla14[[#This Row],[ABR_01]],"X",Tabla14[[#This Row],[ABR_02]],Tabla14[[#This Row],[ZONA2]],,"X",Tabla14[[#This Row],[PARADA2]])</f>
        <v>ARXCT1X08</v>
      </c>
      <c r="T15" t="str">
        <f>Tabla14[[#This Row],[ABR_01]]&amp;Tabla14[[#This Row],[ABR_02]]&amp;Tabla14[[#This Row],[PARADA2]]</f>
        <v>ARCT08</v>
      </c>
      <c r="U15" s="37" t="s">
        <v>36</v>
      </c>
      <c r="V15" s="37" t="s">
        <v>36</v>
      </c>
      <c r="W15">
        <f>LEN(Tabla14[[#This Row],[Transport Zone 2]])</f>
        <v>9</v>
      </c>
    </row>
    <row r="16" spans="2:39" ht="16" hidden="1" thickTop="1" x14ac:dyDescent="0.2">
      <c r="B16" s="19" t="s">
        <v>40</v>
      </c>
      <c r="C16" s="8" t="s">
        <v>74</v>
      </c>
      <c r="D16" s="12" t="s">
        <v>75</v>
      </c>
      <c r="E16" s="9" t="s">
        <v>76</v>
      </c>
      <c r="F16" s="10" t="s">
        <v>77</v>
      </c>
      <c r="G16" s="13">
        <v>348</v>
      </c>
      <c r="H16" s="10">
        <v>370</v>
      </c>
      <c r="I16" s="24" t="s">
        <v>27</v>
      </c>
      <c r="J16" s="24" t="s">
        <v>78</v>
      </c>
      <c r="K16" s="25" t="s">
        <v>29</v>
      </c>
      <c r="L16" s="25" t="s">
        <v>30</v>
      </c>
      <c r="M16" s="15" t="s">
        <v>31</v>
      </c>
      <c r="N16" s="16" t="str">
        <f>Tabla14[[#This Row],[ABR_02]]</f>
        <v>CH</v>
      </c>
      <c r="O16" t="s">
        <v>32</v>
      </c>
      <c r="P16" t="s">
        <v>33</v>
      </c>
      <c r="Q16" t="s">
        <v>57</v>
      </c>
      <c r="R16" t="s">
        <v>35</v>
      </c>
      <c r="S16" t="str">
        <f>_xlfn.CONCAT(Tabla14[[#This Row],[ABR_01]],"X",Tabla14[[#This Row],[ABR_02]],Tabla14[[#This Row],[ZONA2]],,"X",Tabla14[[#This Row],[PARADA2]])</f>
        <v>ARXCH1X01</v>
      </c>
      <c r="T16" t="str">
        <f>Tabla14[[#This Row],[ABR_01]]&amp;Tabla14[[#This Row],[ABR_02]]&amp;Tabla14[[#This Row],[PARADA2]]</f>
        <v>ARCH01</v>
      </c>
      <c r="U16" s="37" t="s">
        <v>36</v>
      </c>
      <c r="V16" s="37" t="s">
        <v>36</v>
      </c>
      <c r="W16">
        <f>LEN(Tabla14[[#This Row],[Transport Zone 2]])</f>
        <v>9</v>
      </c>
    </row>
    <row r="17" spans="2:23" ht="16" hidden="1" thickTop="1" x14ac:dyDescent="0.2">
      <c r="B17" s="19" t="s">
        <v>40</v>
      </c>
      <c r="C17" s="8" t="s">
        <v>79</v>
      </c>
      <c r="D17" s="12" t="s">
        <v>80</v>
      </c>
      <c r="E17" s="9" t="s">
        <v>76</v>
      </c>
      <c r="F17" s="10" t="s">
        <v>77</v>
      </c>
      <c r="G17" s="13">
        <v>348</v>
      </c>
      <c r="H17" s="10">
        <v>365</v>
      </c>
      <c r="I17" s="24" t="s">
        <v>27</v>
      </c>
      <c r="J17" s="24" t="s">
        <v>78</v>
      </c>
      <c r="K17" s="25" t="s">
        <v>29</v>
      </c>
      <c r="L17" s="25" t="s">
        <v>46</v>
      </c>
      <c r="M17" s="15" t="s">
        <v>31</v>
      </c>
      <c r="N17" s="16" t="str">
        <f>Tabla14[[#This Row],[ABR_02]]</f>
        <v>CH</v>
      </c>
      <c r="O17" t="s">
        <v>32</v>
      </c>
      <c r="P17" t="s">
        <v>33</v>
      </c>
      <c r="Q17" t="s">
        <v>57</v>
      </c>
      <c r="R17" t="s">
        <v>35</v>
      </c>
      <c r="S17" t="str">
        <f>_xlfn.CONCAT(Tabla14[[#This Row],[ABR_01]],"X",Tabla14[[#This Row],[ABR_02]],Tabla14[[#This Row],[ZONA2]],,"X",Tabla14[[#This Row],[PARADA2]])</f>
        <v>ARXCH1X02</v>
      </c>
      <c r="T17" t="str">
        <f>Tabla14[[#This Row],[ABR_01]]&amp;Tabla14[[#This Row],[ABR_02]]&amp;Tabla14[[#This Row],[PARADA2]]</f>
        <v>ARCH02</v>
      </c>
      <c r="U17" s="37" t="s">
        <v>36</v>
      </c>
      <c r="V17" s="37" t="s">
        <v>36</v>
      </c>
      <c r="W17">
        <f>LEN(Tabla14[[#This Row],[Transport Zone 2]])</f>
        <v>9</v>
      </c>
    </row>
    <row r="18" spans="2:23" ht="16" hidden="1" thickTop="1" x14ac:dyDescent="0.2">
      <c r="B18" s="19" t="s">
        <v>40</v>
      </c>
      <c r="C18" s="8" t="s">
        <v>81</v>
      </c>
      <c r="D18" s="17" t="s">
        <v>81</v>
      </c>
      <c r="E18" s="9" t="s">
        <v>76</v>
      </c>
      <c r="F18" s="10" t="s">
        <v>77</v>
      </c>
      <c r="G18" s="13">
        <v>348</v>
      </c>
      <c r="H18" s="10">
        <v>375</v>
      </c>
      <c r="I18" s="24" t="s">
        <v>27</v>
      </c>
      <c r="J18" s="24" t="s">
        <v>78</v>
      </c>
      <c r="K18" s="25" t="s">
        <v>29</v>
      </c>
      <c r="L18" s="25" t="s">
        <v>48</v>
      </c>
      <c r="M18" s="15" t="s">
        <v>31</v>
      </c>
      <c r="N18" s="16" t="str">
        <f>Tabla14[[#This Row],[ABR_02]]</f>
        <v>CH</v>
      </c>
      <c r="O18" t="s">
        <v>32</v>
      </c>
      <c r="P18" t="s">
        <v>33</v>
      </c>
      <c r="Q18" t="s">
        <v>57</v>
      </c>
      <c r="R18" t="s">
        <v>35</v>
      </c>
      <c r="S18" t="str">
        <f>_xlfn.CONCAT(Tabla14[[#This Row],[ABR_01]],"X",Tabla14[[#This Row],[ABR_02]],Tabla14[[#This Row],[ZONA2]],,"X",Tabla14[[#This Row],[PARADA2]])</f>
        <v>ARXCH1X03</v>
      </c>
      <c r="T18" t="str">
        <f>Tabla14[[#This Row],[ABR_01]]&amp;Tabla14[[#This Row],[ABR_02]]&amp;Tabla14[[#This Row],[PARADA2]]</f>
        <v>ARCH03</v>
      </c>
      <c r="U18" s="37" t="s">
        <v>36</v>
      </c>
      <c r="V18" s="37" t="s">
        <v>36</v>
      </c>
      <c r="W18">
        <f>LEN(Tabla14[[#This Row],[Transport Zone 2]])</f>
        <v>9</v>
      </c>
    </row>
    <row r="19" spans="2:23" ht="16" hidden="1" thickTop="1" x14ac:dyDescent="0.2">
      <c r="B19" s="19" t="s">
        <v>40</v>
      </c>
      <c r="C19" s="8" t="s">
        <v>82</v>
      </c>
      <c r="D19" s="12" t="s">
        <v>83</v>
      </c>
      <c r="E19" s="9" t="s">
        <v>76</v>
      </c>
      <c r="F19" s="10" t="s">
        <v>77</v>
      </c>
      <c r="G19" s="13">
        <v>348</v>
      </c>
      <c r="H19" s="10">
        <v>348</v>
      </c>
      <c r="I19" s="24" t="s">
        <v>27</v>
      </c>
      <c r="J19" s="24" t="s">
        <v>78</v>
      </c>
      <c r="K19" s="25" t="s">
        <v>29</v>
      </c>
      <c r="L19" s="25" t="s">
        <v>51</v>
      </c>
      <c r="M19" s="15" t="s">
        <v>31</v>
      </c>
      <c r="N19" s="16" t="str">
        <f>Tabla14[[#This Row],[ABR_02]]</f>
        <v>CH</v>
      </c>
      <c r="O19" t="s">
        <v>32</v>
      </c>
      <c r="P19" t="s">
        <v>33</v>
      </c>
      <c r="Q19" t="s">
        <v>57</v>
      </c>
      <c r="R19" t="s">
        <v>35</v>
      </c>
      <c r="S19" t="str">
        <f>_xlfn.CONCAT(Tabla14[[#This Row],[ABR_01]],"X",Tabla14[[#This Row],[ABR_02]],Tabla14[[#This Row],[ZONA2]],,"X",Tabla14[[#This Row],[PARADA2]])</f>
        <v>ARXCH1X04</v>
      </c>
      <c r="T19" t="str">
        <f>Tabla14[[#This Row],[ABR_01]]&amp;Tabla14[[#This Row],[ABR_02]]&amp;Tabla14[[#This Row],[PARADA2]]</f>
        <v>ARCH04</v>
      </c>
      <c r="U19" s="37" t="s">
        <v>36</v>
      </c>
      <c r="V19" s="37" t="s">
        <v>36</v>
      </c>
      <c r="W19">
        <f>LEN(Tabla14[[#This Row],[Transport Zone 2]])</f>
        <v>9</v>
      </c>
    </row>
    <row r="20" spans="2:23" ht="16" hidden="1" thickTop="1" x14ac:dyDescent="0.2">
      <c r="B20" s="19" t="s">
        <v>40</v>
      </c>
      <c r="C20" s="8" t="s">
        <v>84</v>
      </c>
      <c r="D20" s="12" t="s">
        <v>85</v>
      </c>
      <c r="E20" s="9" t="s">
        <v>76</v>
      </c>
      <c r="F20" s="10" t="s">
        <v>77</v>
      </c>
      <c r="G20" s="13">
        <v>348</v>
      </c>
      <c r="H20" s="10">
        <v>350</v>
      </c>
      <c r="I20" s="24" t="s">
        <v>27</v>
      </c>
      <c r="J20" s="24" t="s">
        <v>78</v>
      </c>
      <c r="K20" s="25" t="s">
        <v>29</v>
      </c>
      <c r="L20" s="25" t="s">
        <v>65</v>
      </c>
      <c r="M20" s="15" t="s">
        <v>31</v>
      </c>
      <c r="N20" s="16" t="str">
        <f>Tabla14[[#This Row],[ABR_02]]</f>
        <v>CH</v>
      </c>
      <c r="O20" t="s">
        <v>32</v>
      </c>
      <c r="P20" t="s">
        <v>33</v>
      </c>
      <c r="Q20" t="s">
        <v>57</v>
      </c>
      <c r="R20" t="s">
        <v>35</v>
      </c>
      <c r="S20" t="str">
        <f>_xlfn.CONCAT(Tabla14[[#This Row],[ABR_01]],"X",Tabla14[[#This Row],[ABR_02]],Tabla14[[#This Row],[ZONA2]],,"X",Tabla14[[#This Row],[PARADA2]])</f>
        <v>ARXCH1X05</v>
      </c>
      <c r="T20" t="str">
        <f>Tabla14[[#This Row],[ABR_01]]&amp;Tabla14[[#This Row],[ABR_02]]&amp;Tabla14[[#This Row],[PARADA2]]</f>
        <v>ARCH05</v>
      </c>
      <c r="U20" s="37" t="s">
        <v>36</v>
      </c>
      <c r="V20" s="37" t="s">
        <v>36</v>
      </c>
      <c r="W20">
        <f>LEN(Tabla14[[#This Row],[Transport Zone 2]])</f>
        <v>9</v>
      </c>
    </row>
    <row r="21" spans="2:23" ht="16" hidden="1" thickTop="1" x14ac:dyDescent="0.2">
      <c r="B21" s="19" t="s">
        <v>40</v>
      </c>
      <c r="C21" s="8" t="s">
        <v>86</v>
      </c>
      <c r="D21" s="17" t="s">
        <v>86</v>
      </c>
      <c r="E21" s="9" t="s">
        <v>87</v>
      </c>
      <c r="F21" s="10" t="s">
        <v>88</v>
      </c>
      <c r="G21" s="13">
        <v>337</v>
      </c>
      <c r="H21" s="10">
        <v>415</v>
      </c>
      <c r="I21" s="24" t="s">
        <v>27</v>
      </c>
      <c r="J21" s="24" t="s">
        <v>89</v>
      </c>
      <c r="K21" s="25" t="s">
        <v>29</v>
      </c>
      <c r="L21" s="25" t="s">
        <v>30</v>
      </c>
      <c r="M21" s="15" t="s">
        <v>31</v>
      </c>
      <c r="N21" s="16" t="str">
        <f>Tabla14[[#This Row],[ABR_02]]</f>
        <v>TU</v>
      </c>
      <c r="O21" t="s">
        <v>32</v>
      </c>
      <c r="P21" t="s">
        <v>33</v>
      </c>
      <c r="Q21" t="s">
        <v>57</v>
      </c>
      <c r="R21" t="s">
        <v>35</v>
      </c>
      <c r="S21" t="str">
        <f>_xlfn.CONCAT(Tabla14[[#This Row],[ABR_01]],"X",Tabla14[[#This Row],[ABR_02]],Tabla14[[#This Row],[ZONA2]],,"X",Tabla14[[#This Row],[PARADA2]])</f>
        <v>ARXTU1X01</v>
      </c>
      <c r="T21" t="str">
        <f>Tabla14[[#This Row],[ABR_01]]&amp;Tabla14[[#This Row],[ABR_02]]&amp;Tabla14[[#This Row],[PARADA2]]</f>
        <v>ARTU01</v>
      </c>
      <c r="U21" s="37" t="s">
        <v>36</v>
      </c>
      <c r="V21" s="37" t="s">
        <v>36</v>
      </c>
      <c r="W21">
        <f>LEN(Tabla14[[#This Row],[Transport Zone 2]])</f>
        <v>9</v>
      </c>
    </row>
    <row r="22" spans="2:23" ht="16" hidden="1" thickTop="1" x14ac:dyDescent="0.2">
      <c r="B22" s="19" t="s">
        <v>40</v>
      </c>
      <c r="C22" s="8" t="s">
        <v>90</v>
      </c>
      <c r="D22" s="17" t="s">
        <v>90</v>
      </c>
      <c r="E22" s="9" t="s">
        <v>87</v>
      </c>
      <c r="F22" s="10" t="s">
        <v>88</v>
      </c>
      <c r="G22" s="13">
        <v>353</v>
      </c>
      <c r="H22" s="10">
        <v>410</v>
      </c>
      <c r="I22" s="24" t="s">
        <v>27</v>
      </c>
      <c r="J22" s="24" t="s">
        <v>89</v>
      </c>
      <c r="K22" s="25" t="s">
        <v>29</v>
      </c>
      <c r="L22" s="25" t="s">
        <v>46</v>
      </c>
      <c r="M22" s="15" t="s">
        <v>31</v>
      </c>
      <c r="N22" s="16" t="str">
        <f>Tabla14[[#This Row],[ABR_02]]</f>
        <v>TU</v>
      </c>
      <c r="O22" t="s">
        <v>32</v>
      </c>
      <c r="P22" t="s">
        <v>33</v>
      </c>
      <c r="Q22" t="s">
        <v>57</v>
      </c>
      <c r="R22" t="s">
        <v>35</v>
      </c>
      <c r="S22" t="str">
        <f>_xlfn.CONCAT(Tabla14[[#This Row],[ABR_01]],"X",Tabla14[[#This Row],[ABR_02]],Tabla14[[#This Row],[ZONA2]],,"X",Tabla14[[#This Row],[PARADA2]])</f>
        <v>ARXTU1X02</v>
      </c>
      <c r="T22" t="str">
        <f>Tabla14[[#This Row],[ABR_01]]&amp;Tabla14[[#This Row],[ABR_02]]&amp;Tabla14[[#This Row],[PARADA2]]</f>
        <v>ARTU02</v>
      </c>
      <c r="U22" s="37" t="s">
        <v>36</v>
      </c>
      <c r="V22" s="37" t="s">
        <v>36</v>
      </c>
      <c r="W22">
        <f>LEN(Tabla14[[#This Row],[Transport Zone 2]])</f>
        <v>9</v>
      </c>
    </row>
    <row r="23" spans="2:23" ht="16" hidden="1" thickTop="1" x14ac:dyDescent="0.2">
      <c r="B23" s="19" t="s">
        <v>40</v>
      </c>
      <c r="C23" s="8" t="s">
        <v>91</v>
      </c>
      <c r="D23" s="17" t="s">
        <v>91</v>
      </c>
      <c r="E23" s="9" t="s">
        <v>87</v>
      </c>
      <c r="F23" s="10" t="s">
        <v>88</v>
      </c>
      <c r="G23" s="13">
        <v>353</v>
      </c>
      <c r="H23" s="10">
        <v>420</v>
      </c>
      <c r="I23" s="24" t="s">
        <v>27</v>
      </c>
      <c r="J23" s="24" t="s">
        <v>89</v>
      </c>
      <c r="K23" s="25" t="s">
        <v>29</v>
      </c>
      <c r="L23" s="25" t="s">
        <v>48</v>
      </c>
      <c r="M23" s="15" t="s">
        <v>31</v>
      </c>
      <c r="N23" s="16" t="str">
        <f>Tabla14[[#This Row],[ABR_02]]</f>
        <v>TU</v>
      </c>
      <c r="O23" t="s">
        <v>32</v>
      </c>
      <c r="P23" t="s">
        <v>33</v>
      </c>
      <c r="Q23" t="s">
        <v>57</v>
      </c>
      <c r="R23" t="s">
        <v>35</v>
      </c>
      <c r="S23" t="str">
        <f>_xlfn.CONCAT(Tabla14[[#This Row],[ABR_01]],"X",Tabla14[[#This Row],[ABR_02]],Tabla14[[#This Row],[ZONA2]],,"X",Tabla14[[#This Row],[PARADA2]])</f>
        <v>ARXTU1X03</v>
      </c>
      <c r="T23" t="str">
        <f>Tabla14[[#This Row],[ABR_01]]&amp;Tabla14[[#This Row],[ABR_02]]&amp;Tabla14[[#This Row],[PARADA2]]</f>
        <v>ARTU03</v>
      </c>
      <c r="U23" s="37" t="s">
        <v>36</v>
      </c>
      <c r="V23" s="37" t="s">
        <v>36</v>
      </c>
      <c r="W23">
        <f>LEN(Tabla14[[#This Row],[Transport Zone 2]])</f>
        <v>9</v>
      </c>
    </row>
    <row r="24" spans="2:23" ht="16" hidden="1" thickTop="1" x14ac:dyDescent="0.2">
      <c r="B24" s="19" t="s">
        <v>40</v>
      </c>
      <c r="C24" s="8" t="s">
        <v>92</v>
      </c>
      <c r="D24" s="17" t="s">
        <v>92</v>
      </c>
      <c r="E24" s="9" t="s">
        <v>87</v>
      </c>
      <c r="F24" s="10" t="s">
        <v>88</v>
      </c>
      <c r="G24" s="13">
        <v>353</v>
      </c>
      <c r="H24" s="10">
        <v>405</v>
      </c>
      <c r="I24" s="24" t="s">
        <v>27</v>
      </c>
      <c r="J24" s="24" t="s">
        <v>89</v>
      </c>
      <c r="K24" s="25" t="s">
        <v>29</v>
      </c>
      <c r="L24" s="25" t="s">
        <v>51</v>
      </c>
      <c r="M24" s="15" t="s">
        <v>31</v>
      </c>
      <c r="N24" s="16" t="str">
        <f>Tabla14[[#This Row],[ABR_02]]</f>
        <v>TU</v>
      </c>
      <c r="O24" t="s">
        <v>32</v>
      </c>
      <c r="P24" t="s">
        <v>33</v>
      </c>
      <c r="Q24" t="s">
        <v>57</v>
      </c>
      <c r="R24" t="s">
        <v>35</v>
      </c>
      <c r="S24" t="str">
        <f>_xlfn.CONCAT(Tabla14[[#This Row],[ABR_01]],"X",Tabla14[[#This Row],[ABR_02]],Tabla14[[#This Row],[ZONA2]],,"X",Tabla14[[#This Row],[PARADA2]])</f>
        <v>ARXTU1X04</v>
      </c>
      <c r="T24" t="str">
        <f>Tabla14[[#This Row],[ABR_01]]&amp;Tabla14[[#This Row],[ABR_02]]&amp;Tabla14[[#This Row],[PARADA2]]</f>
        <v>ARTU04</v>
      </c>
      <c r="U24" s="37" t="s">
        <v>36</v>
      </c>
      <c r="V24" s="37" t="s">
        <v>36</v>
      </c>
      <c r="W24">
        <f>LEN(Tabla14[[#This Row],[Transport Zone 2]])</f>
        <v>9</v>
      </c>
    </row>
    <row r="25" spans="2:23" ht="16" hidden="1" thickTop="1" x14ac:dyDescent="0.2">
      <c r="B25" s="19" t="s">
        <v>40</v>
      </c>
      <c r="C25" s="8" t="s">
        <v>93</v>
      </c>
      <c r="D25" s="12" t="s">
        <v>94</v>
      </c>
      <c r="E25" s="9" t="s">
        <v>87</v>
      </c>
      <c r="F25" s="10" t="s">
        <v>88</v>
      </c>
      <c r="G25" s="13">
        <v>353</v>
      </c>
      <c r="H25" s="10">
        <v>400</v>
      </c>
      <c r="I25" s="24" t="s">
        <v>27</v>
      </c>
      <c r="J25" s="24" t="s">
        <v>89</v>
      </c>
      <c r="K25" s="25" t="s">
        <v>29</v>
      </c>
      <c r="L25" s="25" t="s">
        <v>65</v>
      </c>
      <c r="M25" s="15" t="s">
        <v>31</v>
      </c>
      <c r="N25" s="16" t="str">
        <f>Tabla14[[#This Row],[ABR_02]]</f>
        <v>TU</v>
      </c>
      <c r="O25" t="s">
        <v>32</v>
      </c>
      <c r="P25" t="s">
        <v>33</v>
      </c>
      <c r="Q25" t="s">
        <v>57</v>
      </c>
      <c r="R25" t="s">
        <v>35</v>
      </c>
      <c r="S25" t="str">
        <f>_xlfn.CONCAT(Tabla14[[#This Row],[ABR_01]],"X",Tabla14[[#This Row],[ABR_02]],Tabla14[[#This Row],[ZONA2]],,"X",Tabla14[[#This Row],[PARADA2]])</f>
        <v>ARXTU1X05</v>
      </c>
      <c r="T25" t="str">
        <f>Tabla14[[#This Row],[ABR_01]]&amp;Tabla14[[#This Row],[ABR_02]]&amp;Tabla14[[#This Row],[PARADA2]]</f>
        <v>ARTU05</v>
      </c>
      <c r="U25" s="37" t="s">
        <v>36</v>
      </c>
      <c r="V25" s="37" t="s">
        <v>36</v>
      </c>
      <c r="W25">
        <f>LEN(Tabla14[[#This Row],[Transport Zone 2]])</f>
        <v>9</v>
      </c>
    </row>
    <row r="26" spans="2:23" ht="16" hidden="1" thickTop="1" x14ac:dyDescent="0.2">
      <c r="B26" s="19" t="s">
        <v>40</v>
      </c>
      <c r="C26" s="8" t="s">
        <v>95</v>
      </c>
      <c r="D26" s="8" t="s">
        <v>95</v>
      </c>
      <c r="E26" s="9" t="s">
        <v>87</v>
      </c>
      <c r="F26" s="10" t="s">
        <v>88</v>
      </c>
      <c r="G26" s="13">
        <v>353</v>
      </c>
      <c r="H26" s="10">
        <v>425</v>
      </c>
      <c r="I26" s="24" t="s">
        <v>27</v>
      </c>
      <c r="J26" s="24" t="s">
        <v>89</v>
      </c>
      <c r="K26" s="25" t="s">
        <v>29</v>
      </c>
      <c r="L26" s="25" t="s">
        <v>67</v>
      </c>
      <c r="M26" s="15" t="s">
        <v>31</v>
      </c>
      <c r="N26" s="16" t="str">
        <f>Tabla14[[#This Row],[ABR_02]]</f>
        <v>TU</v>
      </c>
      <c r="O26" t="s">
        <v>32</v>
      </c>
      <c r="P26" t="s">
        <v>33</v>
      </c>
      <c r="Q26" t="s">
        <v>57</v>
      </c>
      <c r="R26" t="s">
        <v>35</v>
      </c>
      <c r="S26" t="str">
        <f>_xlfn.CONCAT(Tabla14[[#This Row],[ABR_01]],"X",Tabla14[[#This Row],[ABR_02]],Tabla14[[#This Row],[ZONA2]],,"X",Tabla14[[#This Row],[PARADA2]])</f>
        <v>ARXTU1X06</v>
      </c>
      <c r="T26" t="str">
        <f>Tabla14[[#This Row],[ABR_01]]&amp;Tabla14[[#This Row],[ABR_02]]&amp;Tabla14[[#This Row],[PARADA2]]</f>
        <v>ARTU06</v>
      </c>
      <c r="U26" s="37" t="s">
        <v>36</v>
      </c>
      <c r="V26" s="37" t="s">
        <v>36</v>
      </c>
      <c r="W26">
        <f>LEN(Tabla14[[#This Row],[Transport Zone 2]])</f>
        <v>9</v>
      </c>
    </row>
    <row r="27" spans="2:23" ht="16" hidden="1" thickTop="1" x14ac:dyDescent="0.2">
      <c r="B27" s="19" t="s">
        <v>40</v>
      </c>
      <c r="C27" s="8" t="s">
        <v>96</v>
      </c>
      <c r="D27" s="12" t="s">
        <v>97</v>
      </c>
      <c r="E27" s="9" t="s">
        <v>98</v>
      </c>
      <c r="F27" s="10" t="s">
        <v>55</v>
      </c>
      <c r="G27" s="13">
        <v>357</v>
      </c>
      <c r="H27" s="10">
        <v>995</v>
      </c>
      <c r="I27" s="24" t="s">
        <v>27</v>
      </c>
      <c r="J27" s="24" t="s">
        <v>99</v>
      </c>
      <c r="K27" s="25" t="s">
        <v>29</v>
      </c>
      <c r="L27" s="25" t="s">
        <v>30</v>
      </c>
      <c r="M27" s="15" t="s">
        <v>31</v>
      </c>
      <c r="N27" s="16" t="str">
        <f>Tabla14[[#This Row],[ABR_02]]</f>
        <v>TF</v>
      </c>
      <c r="O27" t="s">
        <v>32</v>
      </c>
      <c r="P27" t="s">
        <v>33</v>
      </c>
      <c r="Q27" t="s">
        <v>57</v>
      </c>
      <c r="R27" t="s">
        <v>35</v>
      </c>
      <c r="S27" t="str">
        <f>_xlfn.CONCAT(Tabla14[[#This Row],[ABR_01]],"X",Tabla14[[#This Row],[ABR_02]],Tabla14[[#This Row],[ZONA2]],,"X",Tabla14[[#This Row],[PARADA2]])</f>
        <v>ARXTF1X01</v>
      </c>
      <c r="T27" t="str">
        <f>Tabla14[[#This Row],[ABR_01]]&amp;Tabla14[[#This Row],[ABR_02]]&amp;Tabla14[[#This Row],[PARADA2]]</f>
        <v>ARTF01</v>
      </c>
      <c r="U27" s="37" t="s">
        <v>36</v>
      </c>
      <c r="V27" s="37" t="s">
        <v>36</v>
      </c>
      <c r="W27">
        <f>LEN(Tabla14[[#This Row],[Transport Zone 2]])</f>
        <v>9</v>
      </c>
    </row>
    <row r="28" spans="2:23" ht="16" hidden="1" thickTop="1" x14ac:dyDescent="0.2">
      <c r="B28" s="19" t="s">
        <v>40</v>
      </c>
      <c r="C28" s="8" t="s">
        <v>100</v>
      </c>
      <c r="D28" s="12" t="s">
        <v>101</v>
      </c>
      <c r="E28" s="9" t="s">
        <v>98</v>
      </c>
      <c r="F28" s="10" t="s">
        <v>55</v>
      </c>
      <c r="G28" s="13">
        <v>357</v>
      </c>
      <c r="H28" s="10">
        <v>990</v>
      </c>
      <c r="I28" s="24" t="s">
        <v>27</v>
      </c>
      <c r="J28" s="24" t="s">
        <v>99</v>
      </c>
      <c r="K28" s="25" t="s">
        <v>29</v>
      </c>
      <c r="L28" s="25" t="s">
        <v>46</v>
      </c>
      <c r="M28" s="15" t="s">
        <v>31</v>
      </c>
      <c r="N28" s="16" t="str">
        <f>Tabla14[[#This Row],[ABR_02]]</f>
        <v>TF</v>
      </c>
      <c r="O28" t="s">
        <v>32</v>
      </c>
      <c r="P28" t="s">
        <v>33</v>
      </c>
      <c r="Q28" t="s">
        <v>57</v>
      </c>
      <c r="R28" t="s">
        <v>35</v>
      </c>
      <c r="S28" t="str">
        <f>_xlfn.CONCAT(Tabla14[[#This Row],[ABR_01]],"X",Tabla14[[#This Row],[ABR_02]],Tabla14[[#This Row],[ZONA2]],,"X",Tabla14[[#This Row],[PARADA2]])</f>
        <v>ARXTF1X02</v>
      </c>
      <c r="T28" t="str">
        <f>Tabla14[[#This Row],[ABR_01]]&amp;Tabla14[[#This Row],[ABR_02]]&amp;Tabla14[[#This Row],[PARADA2]]</f>
        <v>ARTF02</v>
      </c>
      <c r="U28" s="37" t="s">
        <v>36</v>
      </c>
      <c r="V28" s="37" t="s">
        <v>36</v>
      </c>
      <c r="W28">
        <f>LEN(Tabla14[[#This Row],[Transport Zone 2]])</f>
        <v>9</v>
      </c>
    </row>
    <row r="29" spans="2:23" ht="16" hidden="1" thickTop="1" x14ac:dyDescent="0.2">
      <c r="B29" s="19" t="s">
        <v>40</v>
      </c>
      <c r="C29" s="8" t="s">
        <v>102</v>
      </c>
      <c r="D29" s="17" t="s">
        <v>102</v>
      </c>
      <c r="E29" s="9" t="s">
        <v>103</v>
      </c>
      <c r="F29" s="10" t="s">
        <v>88</v>
      </c>
      <c r="G29" s="13">
        <v>359</v>
      </c>
      <c r="H29" s="10">
        <v>435</v>
      </c>
      <c r="I29" s="24" t="s">
        <v>27</v>
      </c>
      <c r="J29" s="24" t="s">
        <v>104</v>
      </c>
      <c r="K29" s="25" t="s">
        <v>29</v>
      </c>
      <c r="L29" s="25" t="s">
        <v>30</v>
      </c>
      <c r="M29" s="15" t="s">
        <v>31</v>
      </c>
      <c r="N29" s="16" t="str">
        <f>Tabla14[[#This Row],[ABR_02]]</f>
        <v>SE</v>
      </c>
      <c r="O29" t="s">
        <v>32</v>
      </c>
      <c r="P29" t="s">
        <v>33</v>
      </c>
      <c r="Q29" t="s">
        <v>57</v>
      </c>
      <c r="R29" t="s">
        <v>35</v>
      </c>
      <c r="S29" t="str">
        <f>_xlfn.CONCAT(Tabla14[[#This Row],[ABR_01]],"X",Tabla14[[#This Row],[ABR_02]],Tabla14[[#This Row],[ZONA2]],,"X",Tabla14[[#This Row],[PARADA2]])</f>
        <v>ARXSE1X01</v>
      </c>
      <c r="T29" t="str">
        <f>Tabla14[[#This Row],[ABR_01]]&amp;Tabla14[[#This Row],[ABR_02]]&amp;Tabla14[[#This Row],[PARADA2]]</f>
        <v>ARSE01</v>
      </c>
      <c r="U29" s="37" t="s">
        <v>36</v>
      </c>
      <c r="V29" s="37" t="s">
        <v>36</v>
      </c>
      <c r="W29">
        <f>LEN(Tabla14[[#This Row],[Transport Zone 2]])</f>
        <v>9</v>
      </c>
    </row>
    <row r="30" spans="2:23" ht="16" hidden="1" thickTop="1" x14ac:dyDescent="0.2">
      <c r="B30" s="19" t="s">
        <v>40</v>
      </c>
      <c r="C30" s="8" t="s">
        <v>105</v>
      </c>
      <c r="D30" s="12" t="s">
        <v>106</v>
      </c>
      <c r="E30" s="9" t="s">
        <v>103</v>
      </c>
      <c r="F30" s="10" t="s">
        <v>88</v>
      </c>
      <c r="G30" s="13">
        <v>359</v>
      </c>
      <c r="H30" s="10">
        <v>430</v>
      </c>
      <c r="I30" s="24" t="s">
        <v>27</v>
      </c>
      <c r="J30" s="24" t="s">
        <v>104</v>
      </c>
      <c r="K30" s="25" t="s">
        <v>29</v>
      </c>
      <c r="L30" s="25" t="s">
        <v>46</v>
      </c>
      <c r="M30" s="15" t="s">
        <v>31</v>
      </c>
      <c r="N30" s="16" t="str">
        <f>Tabla14[[#This Row],[ABR_02]]</f>
        <v>SE</v>
      </c>
      <c r="O30" t="s">
        <v>32</v>
      </c>
      <c r="P30" t="s">
        <v>33</v>
      </c>
      <c r="Q30" t="s">
        <v>57</v>
      </c>
      <c r="R30" t="s">
        <v>35</v>
      </c>
      <c r="S30" t="str">
        <f>_xlfn.CONCAT(Tabla14[[#This Row],[ABR_01]],"X",Tabla14[[#This Row],[ABR_02]],Tabla14[[#This Row],[ZONA2]],,"X",Tabla14[[#This Row],[PARADA2]])</f>
        <v>ARXSE1X02</v>
      </c>
      <c r="T30" t="str">
        <f>Tabla14[[#This Row],[ABR_01]]&amp;Tabla14[[#This Row],[ABR_02]]&amp;Tabla14[[#This Row],[PARADA2]]</f>
        <v>ARSE02</v>
      </c>
      <c r="U30" s="37" t="s">
        <v>36</v>
      </c>
      <c r="V30" s="37" t="s">
        <v>36</v>
      </c>
      <c r="W30">
        <f>LEN(Tabla14[[#This Row],[Transport Zone 2]])</f>
        <v>9</v>
      </c>
    </row>
    <row r="31" spans="2:23" ht="16" hidden="1" thickTop="1" x14ac:dyDescent="0.2">
      <c r="B31" s="19" t="s">
        <v>40</v>
      </c>
      <c r="C31" s="8" t="s">
        <v>107</v>
      </c>
      <c r="D31" s="17" t="s">
        <v>107</v>
      </c>
      <c r="E31" s="9" t="s">
        <v>108</v>
      </c>
      <c r="F31" s="10" t="s">
        <v>109</v>
      </c>
      <c r="G31" s="13">
        <v>337</v>
      </c>
      <c r="H31" s="10">
        <v>799</v>
      </c>
      <c r="I31" s="24" t="s">
        <v>27</v>
      </c>
      <c r="J31" s="24" t="s">
        <v>110</v>
      </c>
      <c r="K31" s="25" t="s">
        <v>29</v>
      </c>
      <c r="L31" s="25" t="s">
        <v>30</v>
      </c>
      <c r="M31" s="15" t="s">
        <v>31</v>
      </c>
      <c r="N31" s="16" t="str">
        <f>Tabla14[[#This Row],[ABR_02]]</f>
        <v>SF</v>
      </c>
      <c r="O31" t="s">
        <v>32</v>
      </c>
      <c r="P31" t="s">
        <v>33</v>
      </c>
      <c r="Q31" t="s">
        <v>32</v>
      </c>
      <c r="R31" t="s">
        <v>35</v>
      </c>
      <c r="S31" t="str">
        <f>_xlfn.CONCAT(Tabla14[[#This Row],[ABR_01]],"X",Tabla14[[#This Row],[ABR_02]],Tabla14[[#This Row],[ZONA2]],,"X",Tabla14[[#This Row],[PARADA2]])</f>
        <v>ARXSF1X01</v>
      </c>
      <c r="T31" t="str">
        <f>Tabla14[[#This Row],[ABR_01]]&amp;Tabla14[[#This Row],[ABR_02]]&amp;Tabla14[[#This Row],[PARADA2]]</f>
        <v>ARSF01</v>
      </c>
      <c r="U31" s="37" t="s">
        <v>36</v>
      </c>
      <c r="V31" s="37" t="s">
        <v>36</v>
      </c>
      <c r="W31">
        <f>LEN(Tabla14[[#This Row],[Transport Zone 2]])</f>
        <v>9</v>
      </c>
    </row>
    <row r="32" spans="2:23" ht="16" hidden="1" thickTop="1" x14ac:dyDescent="0.2">
      <c r="B32" s="19" t="s">
        <v>40</v>
      </c>
      <c r="C32" s="8" t="s">
        <v>111</v>
      </c>
      <c r="D32" s="12" t="s">
        <v>112</v>
      </c>
      <c r="E32" s="9" t="s">
        <v>108</v>
      </c>
      <c r="F32" s="10" t="s">
        <v>109</v>
      </c>
      <c r="G32" s="13">
        <v>337</v>
      </c>
      <c r="H32" s="10">
        <v>735</v>
      </c>
      <c r="I32" s="24" t="s">
        <v>27</v>
      </c>
      <c r="J32" s="24" t="s">
        <v>110</v>
      </c>
      <c r="K32" s="25" t="s">
        <v>29</v>
      </c>
      <c r="L32" s="25" t="s">
        <v>46</v>
      </c>
      <c r="M32" s="15" t="s">
        <v>31</v>
      </c>
      <c r="N32" s="16" t="str">
        <f>Tabla14[[#This Row],[ABR_02]]</f>
        <v>SF</v>
      </c>
      <c r="O32" t="s">
        <v>32</v>
      </c>
      <c r="P32" t="s">
        <v>33</v>
      </c>
      <c r="Q32" t="s">
        <v>32</v>
      </c>
      <c r="R32" t="s">
        <v>35</v>
      </c>
      <c r="S32" t="str">
        <f>_xlfn.CONCAT(Tabla14[[#This Row],[ABR_01]],"X",Tabla14[[#This Row],[ABR_02]],Tabla14[[#This Row],[ZONA2]],,"X",Tabla14[[#This Row],[PARADA2]])</f>
        <v>ARXSF1X02</v>
      </c>
      <c r="T32" t="str">
        <f>Tabla14[[#This Row],[ABR_01]]&amp;Tabla14[[#This Row],[ABR_02]]&amp;Tabla14[[#This Row],[PARADA2]]</f>
        <v>ARSF02</v>
      </c>
      <c r="U32" s="37" t="s">
        <v>36</v>
      </c>
      <c r="V32" s="37" t="s">
        <v>36</v>
      </c>
      <c r="W32">
        <f>LEN(Tabla14[[#This Row],[Transport Zone 2]])</f>
        <v>9</v>
      </c>
    </row>
    <row r="33" spans="2:23" ht="16" hidden="1" thickTop="1" x14ac:dyDescent="0.2">
      <c r="B33" s="19" t="s">
        <v>40</v>
      </c>
      <c r="C33" s="8" t="s">
        <v>113</v>
      </c>
      <c r="D33" s="12" t="s">
        <v>114</v>
      </c>
      <c r="E33" s="9" t="s">
        <v>108</v>
      </c>
      <c r="F33" s="10" t="s">
        <v>109</v>
      </c>
      <c r="G33" s="13">
        <v>337</v>
      </c>
      <c r="H33" s="10">
        <v>706</v>
      </c>
      <c r="I33" s="24" t="s">
        <v>27</v>
      </c>
      <c r="J33" s="24" t="s">
        <v>110</v>
      </c>
      <c r="K33" s="25" t="s">
        <v>29</v>
      </c>
      <c r="L33" s="25" t="s">
        <v>48</v>
      </c>
      <c r="M33" s="15" t="s">
        <v>31</v>
      </c>
      <c r="N33" s="16" t="str">
        <f>Tabla14[[#This Row],[ABR_02]]</f>
        <v>SF</v>
      </c>
      <c r="O33" t="s">
        <v>32</v>
      </c>
      <c r="P33" t="s">
        <v>33</v>
      </c>
      <c r="Q33" t="s">
        <v>32</v>
      </c>
      <c r="R33" t="s">
        <v>35</v>
      </c>
      <c r="S33" t="str">
        <f>_xlfn.CONCAT(Tabla14[[#This Row],[ABR_01]],"X",Tabla14[[#This Row],[ABR_02]],Tabla14[[#This Row],[ZONA2]],,"X",Tabla14[[#This Row],[PARADA2]])</f>
        <v>ARXSF1X03</v>
      </c>
      <c r="T33" t="str">
        <f>Tabla14[[#This Row],[ABR_01]]&amp;Tabla14[[#This Row],[ABR_02]]&amp;Tabla14[[#This Row],[PARADA2]]</f>
        <v>ARSF03</v>
      </c>
      <c r="U33" s="37" t="s">
        <v>36</v>
      </c>
      <c r="V33" s="37" t="s">
        <v>36</v>
      </c>
      <c r="W33">
        <f>LEN(Tabla14[[#This Row],[Transport Zone 2]])</f>
        <v>9</v>
      </c>
    </row>
    <row r="34" spans="2:23" ht="16" hidden="1" thickTop="1" x14ac:dyDescent="0.2">
      <c r="B34" s="19" t="s">
        <v>40</v>
      </c>
      <c r="C34" s="8" t="s">
        <v>115</v>
      </c>
      <c r="D34" s="12" t="s">
        <v>116</v>
      </c>
      <c r="E34" s="9" t="s">
        <v>108</v>
      </c>
      <c r="F34" s="10" t="s">
        <v>109</v>
      </c>
      <c r="G34" s="13">
        <v>337</v>
      </c>
      <c r="H34" s="10">
        <v>708</v>
      </c>
      <c r="I34" s="24" t="s">
        <v>27</v>
      </c>
      <c r="J34" s="24" t="s">
        <v>110</v>
      </c>
      <c r="K34" s="25" t="s">
        <v>29</v>
      </c>
      <c r="L34" s="25" t="s">
        <v>51</v>
      </c>
      <c r="M34" s="15" t="s">
        <v>31</v>
      </c>
      <c r="N34" s="16" t="str">
        <f>Tabla14[[#This Row],[ABR_02]]</f>
        <v>SF</v>
      </c>
      <c r="O34" t="s">
        <v>32</v>
      </c>
      <c r="P34" t="s">
        <v>33</v>
      </c>
      <c r="Q34" t="s">
        <v>32</v>
      </c>
      <c r="R34" t="s">
        <v>35</v>
      </c>
      <c r="S34" t="str">
        <f>_xlfn.CONCAT(Tabla14[[#This Row],[ABR_01]],"X",Tabla14[[#This Row],[ABR_02]],Tabla14[[#This Row],[ZONA2]],,"X",Tabla14[[#This Row],[PARADA2]])</f>
        <v>ARXSF1X04</v>
      </c>
      <c r="T34" t="str">
        <f>Tabla14[[#This Row],[ABR_01]]&amp;Tabla14[[#This Row],[ABR_02]]&amp;Tabla14[[#This Row],[PARADA2]]</f>
        <v>ARSF04</v>
      </c>
      <c r="U34" s="37" t="s">
        <v>36</v>
      </c>
      <c r="V34" s="37" t="s">
        <v>36</v>
      </c>
      <c r="W34">
        <f>LEN(Tabla14[[#This Row],[Transport Zone 2]])</f>
        <v>9</v>
      </c>
    </row>
    <row r="35" spans="2:23" ht="16" hidden="1" thickTop="1" x14ac:dyDescent="0.2">
      <c r="B35" s="19" t="s">
        <v>40</v>
      </c>
      <c r="C35" s="8" t="s">
        <v>117</v>
      </c>
      <c r="D35" s="12" t="s">
        <v>118</v>
      </c>
      <c r="E35" s="9" t="s">
        <v>108</v>
      </c>
      <c r="F35" s="10" t="s">
        <v>109</v>
      </c>
      <c r="G35" s="13">
        <v>337</v>
      </c>
      <c r="H35" s="10">
        <v>710</v>
      </c>
      <c r="I35" s="24" t="s">
        <v>27</v>
      </c>
      <c r="J35" s="24" t="s">
        <v>110</v>
      </c>
      <c r="K35" s="25" t="s">
        <v>29</v>
      </c>
      <c r="L35" s="25" t="s">
        <v>65</v>
      </c>
      <c r="M35" s="15" t="s">
        <v>31</v>
      </c>
      <c r="N35" s="16" t="str">
        <f>Tabla14[[#This Row],[ABR_02]]</f>
        <v>SF</v>
      </c>
      <c r="O35" t="s">
        <v>32</v>
      </c>
      <c r="P35" t="s">
        <v>33</v>
      </c>
      <c r="Q35" t="s">
        <v>32</v>
      </c>
      <c r="R35" t="s">
        <v>35</v>
      </c>
      <c r="S35" t="str">
        <f>_xlfn.CONCAT(Tabla14[[#This Row],[ABR_01]],"X",Tabla14[[#This Row],[ABR_02]],Tabla14[[#This Row],[ZONA2]],,"X",Tabla14[[#This Row],[PARADA2]])</f>
        <v>ARXSF1X05</v>
      </c>
      <c r="T35" t="str">
        <f>Tabla14[[#This Row],[ABR_01]]&amp;Tabla14[[#This Row],[ABR_02]]&amp;Tabla14[[#This Row],[PARADA2]]</f>
        <v>ARSF05</v>
      </c>
      <c r="U35" s="37" t="s">
        <v>36</v>
      </c>
      <c r="V35" s="37" t="s">
        <v>36</v>
      </c>
      <c r="W35">
        <f>LEN(Tabla14[[#This Row],[Transport Zone 2]])</f>
        <v>9</v>
      </c>
    </row>
    <row r="36" spans="2:23" ht="16" hidden="1" thickTop="1" x14ac:dyDescent="0.2">
      <c r="B36" s="19" t="s">
        <v>40</v>
      </c>
      <c r="C36" s="8" t="s">
        <v>119</v>
      </c>
      <c r="D36" s="12" t="s">
        <v>120</v>
      </c>
      <c r="E36" s="9" t="s">
        <v>108</v>
      </c>
      <c r="F36" s="10" t="s">
        <v>109</v>
      </c>
      <c r="G36" s="13">
        <v>337</v>
      </c>
      <c r="H36" s="10">
        <v>703</v>
      </c>
      <c r="I36" s="24" t="s">
        <v>27</v>
      </c>
      <c r="J36" s="24" t="s">
        <v>110</v>
      </c>
      <c r="K36" s="25" t="s">
        <v>29</v>
      </c>
      <c r="L36" s="25" t="s">
        <v>67</v>
      </c>
      <c r="M36" s="15" t="s">
        <v>31</v>
      </c>
      <c r="N36" s="16" t="str">
        <f>Tabla14[[#This Row],[ABR_02]]</f>
        <v>SF</v>
      </c>
      <c r="O36" t="s">
        <v>32</v>
      </c>
      <c r="P36" t="s">
        <v>33</v>
      </c>
      <c r="Q36" t="s">
        <v>32</v>
      </c>
      <c r="R36" t="s">
        <v>35</v>
      </c>
      <c r="S36" t="str">
        <f>_xlfn.CONCAT(Tabla14[[#This Row],[ABR_01]],"X",Tabla14[[#This Row],[ABR_02]],Tabla14[[#This Row],[ZONA2]],,"X",Tabla14[[#This Row],[PARADA2]])</f>
        <v>ARXSF1X06</v>
      </c>
      <c r="T36" t="str">
        <f>Tabla14[[#This Row],[ABR_01]]&amp;Tabla14[[#This Row],[ABR_02]]&amp;Tabla14[[#This Row],[PARADA2]]</f>
        <v>ARSF06</v>
      </c>
      <c r="U36" s="37" t="s">
        <v>36</v>
      </c>
      <c r="V36" s="37" t="s">
        <v>36</v>
      </c>
      <c r="W36">
        <f>LEN(Tabla14[[#This Row],[Transport Zone 2]])</f>
        <v>9</v>
      </c>
    </row>
    <row r="37" spans="2:23" ht="16" hidden="1" thickTop="1" x14ac:dyDescent="0.2">
      <c r="B37" s="19" t="s">
        <v>40</v>
      </c>
      <c r="C37" s="8" t="s">
        <v>121</v>
      </c>
      <c r="D37" s="17" t="s">
        <v>121</v>
      </c>
      <c r="E37" s="9" t="s">
        <v>108</v>
      </c>
      <c r="F37" s="10" t="s">
        <v>109</v>
      </c>
      <c r="G37" s="13">
        <v>337</v>
      </c>
      <c r="H37" s="10">
        <v>780</v>
      </c>
      <c r="I37" s="24" t="s">
        <v>27</v>
      </c>
      <c r="J37" s="24" t="s">
        <v>110</v>
      </c>
      <c r="K37" s="25" t="s">
        <v>29</v>
      </c>
      <c r="L37" s="25" t="s">
        <v>70</v>
      </c>
      <c r="M37" s="15" t="s">
        <v>31</v>
      </c>
      <c r="N37" s="16" t="str">
        <f>Tabla14[[#This Row],[ABR_02]]</f>
        <v>SF</v>
      </c>
      <c r="O37" t="s">
        <v>32</v>
      </c>
      <c r="P37" t="s">
        <v>33</v>
      </c>
      <c r="Q37" t="s">
        <v>32</v>
      </c>
      <c r="R37" t="s">
        <v>35</v>
      </c>
      <c r="S37" t="str">
        <f>_xlfn.CONCAT(Tabla14[[#This Row],[ABR_01]],"X",Tabla14[[#This Row],[ABR_02]],Tabla14[[#This Row],[ZONA2]],,"X",Tabla14[[#This Row],[PARADA2]])</f>
        <v>ARXSF1X07</v>
      </c>
      <c r="T37" t="str">
        <f>Tabla14[[#This Row],[ABR_01]]&amp;Tabla14[[#This Row],[ABR_02]]&amp;Tabla14[[#This Row],[PARADA2]]</f>
        <v>ARSF07</v>
      </c>
      <c r="U37" s="37" t="s">
        <v>36</v>
      </c>
      <c r="V37" s="37" t="s">
        <v>36</v>
      </c>
      <c r="W37">
        <f>LEN(Tabla14[[#This Row],[Transport Zone 2]])</f>
        <v>9</v>
      </c>
    </row>
    <row r="38" spans="2:23" ht="16" hidden="1" thickTop="1" x14ac:dyDescent="0.2">
      <c r="B38" s="19" t="s">
        <v>40</v>
      </c>
      <c r="C38" s="8" t="s">
        <v>122</v>
      </c>
      <c r="D38" s="17" t="s">
        <v>122</v>
      </c>
      <c r="E38" s="9" t="s">
        <v>108</v>
      </c>
      <c r="F38" s="10" t="s">
        <v>109</v>
      </c>
      <c r="G38" s="13">
        <v>337</v>
      </c>
      <c r="H38" s="10">
        <v>795</v>
      </c>
      <c r="I38" s="24" t="s">
        <v>27</v>
      </c>
      <c r="J38" s="24" t="s">
        <v>110</v>
      </c>
      <c r="K38" s="25" t="s">
        <v>29</v>
      </c>
      <c r="L38" s="25" t="s">
        <v>73</v>
      </c>
      <c r="M38" s="15" t="s">
        <v>31</v>
      </c>
      <c r="N38" s="16" t="str">
        <f>Tabla14[[#This Row],[ABR_02]]</f>
        <v>SF</v>
      </c>
      <c r="O38" t="s">
        <v>32</v>
      </c>
      <c r="P38" t="s">
        <v>33</v>
      </c>
      <c r="Q38" t="s">
        <v>32</v>
      </c>
      <c r="R38" t="s">
        <v>35</v>
      </c>
      <c r="S38" t="str">
        <f>_xlfn.CONCAT(Tabla14[[#This Row],[ABR_01]],"X",Tabla14[[#This Row],[ABR_02]],Tabla14[[#This Row],[ZONA2]],,"X",Tabla14[[#This Row],[PARADA2]])</f>
        <v>ARXSF1X08</v>
      </c>
      <c r="T38" t="str">
        <f>Tabla14[[#This Row],[ABR_01]]&amp;Tabla14[[#This Row],[ABR_02]]&amp;Tabla14[[#This Row],[PARADA2]]</f>
        <v>ARSF08</v>
      </c>
      <c r="U38" s="37" t="s">
        <v>36</v>
      </c>
      <c r="V38" s="37" t="s">
        <v>36</v>
      </c>
      <c r="W38">
        <f>LEN(Tabla14[[#This Row],[Transport Zone 2]])</f>
        <v>9</v>
      </c>
    </row>
    <row r="39" spans="2:23" ht="16" hidden="1" thickTop="1" x14ac:dyDescent="0.2">
      <c r="B39" s="19" t="s">
        <v>40</v>
      </c>
      <c r="C39" s="8" t="s">
        <v>123</v>
      </c>
      <c r="D39" s="12" t="s">
        <v>124</v>
      </c>
      <c r="E39" s="9" t="s">
        <v>108</v>
      </c>
      <c r="F39" s="10" t="s">
        <v>109</v>
      </c>
      <c r="G39" s="13">
        <v>337</v>
      </c>
      <c r="H39" s="10">
        <v>750</v>
      </c>
      <c r="I39" s="24" t="s">
        <v>27</v>
      </c>
      <c r="J39" s="24" t="s">
        <v>110</v>
      </c>
      <c r="K39" s="25" t="s">
        <v>29</v>
      </c>
      <c r="L39" s="25" t="s">
        <v>125</v>
      </c>
      <c r="M39" s="15" t="s">
        <v>31</v>
      </c>
      <c r="N39" s="16" t="str">
        <f>Tabla14[[#This Row],[ABR_02]]</f>
        <v>SF</v>
      </c>
      <c r="O39" t="s">
        <v>32</v>
      </c>
      <c r="P39" t="s">
        <v>33</v>
      </c>
      <c r="Q39" t="s">
        <v>32</v>
      </c>
      <c r="R39" t="s">
        <v>35</v>
      </c>
      <c r="S39" t="str">
        <f>_xlfn.CONCAT(Tabla14[[#This Row],[ABR_01]],"X",Tabla14[[#This Row],[ABR_02]],Tabla14[[#This Row],[ZONA2]],,"X",Tabla14[[#This Row],[PARADA2]])</f>
        <v>ARXSF1X09</v>
      </c>
      <c r="T39" t="str">
        <f>Tabla14[[#This Row],[ABR_01]]&amp;Tabla14[[#This Row],[ABR_02]]&amp;Tabla14[[#This Row],[PARADA2]]</f>
        <v>ARSF09</v>
      </c>
      <c r="U39" s="37" t="s">
        <v>36</v>
      </c>
      <c r="V39" s="37" t="s">
        <v>36</v>
      </c>
      <c r="W39">
        <f>LEN(Tabla14[[#This Row],[Transport Zone 2]])</f>
        <v>9</v>
      </c>
    </row>
    <row r="40" spans="2:23" ht="16" hidden="1" thickTop="1" x14ac:dyDescent="0.2">
      <c r="B40" s="19" t="s">
        <v>40</v>
      </c>
      <c r="C40" s="8" t="s">
        <v>126</v>
      </c>
      <c r="D40" s="12" t="s">
        <v>127</v>
      </c>
      <c r="E40" s="9" t="s">
        <v>108</v>
      </c>
      <c r="F40" s="10" t="s">
        <v>109</v>
      </c>
      <c r="G40" s="13">
        <v>337</v>
      </c>
      <c r="H40" s="10">
        <v>705</v>
      </c>
      <c r="I40" s="24" t="s">
        <v>27</v>
      </c>
      <c r="J40" s="24" t="s">
        <v>110</v>
      </c>
      <c r="K40" s="25" t="s">
        <v>29</v>
      </c>
      <c r="L40" s="25" t="s">
        <v>128</v>
      </c>
      <c r="M40" s="15" t="s">
        <v>31</v>
      </c>
      <c r="N40" s="16" t="str">
        <f>Tabla14[[#This Row],[ABR_02]]</f>
        <v>SF</v>
      </c>
      <c r="O40" t="s">
        <v>32</v>
      </c>
      <c r="P40" t="s">
        <v>33</v>
      </c>
      <c r="Q40" t="s">
        <v>32</v>
      </c>
      <c r="R40" t="s">
        <v>35</v>
      </c>
      <c r="S40" t="str">
        <f>_xlfn.CONCAT(Tabla14[[#This Row],[ABR_01]],"X",Tabla14[[#This Row],[ABR_02]],Tabla14[[#This Row],[ZONA2]],,"X",Tabla14[[#This Row],[PARADA2]])</f>
        <v>ARXSF1X10</v>
      </c>
      <c r="T40" t="str">
        <f>Tabla14[[#This Row],[ABR_01]]&amp;Tabla14[[#This Row],[ABR_02]]&amp;Tabla14[[#This Row],[PARADA2]]</f>
        <v>ARSF10</v>
      </c>
      <c r="U40" s="37" t="s">
        <v>36</v>
      </c>
      <c r="V40" s="37" t="s">
        <v>36</v>
      </c>
      <c r="W40">
        <f>LEN(Tabla14[[#This Row],[Transport Zone 2]])</f>
        <v>9</v>
      </c>
    </row>
    <row r="41" spans="2:23" ht="16" hidden="1" thickTop="1" x14ac:dyDescent="0.2">
      <c r="B41" s="19" t="s">
        <v>40</v>
      </c>
      <c r="C41" s="8" t="s">
        <v>129</v>
      </c>
      <c r="D41" s="17" t="s">
        <v>129</v>
      </c>
      <c r="E41" s="9" t="s">
        <v>108</v>
      </c>
      <c r="F41" s="10" t="s">
        <v>109</v>
      </c>
      <c r="G41" s="13">
        <v>337</v>
      </c>
      <c r="H41" s="10">
        <v>704</v>
      </c>
      <c r="I41" s="24" t="s">
        <v>27</v>
      </c>
      <c r="J41" s="24" t="s">
        <v>110</v>
      </c>
      <c r="K41" s="25" t="s">
        <v>29</v>
      </c>
      <c r="L41" s="25" t="s">
        <v>130</v>
      </c>
      <c r="M41" s="15" t="s">
        <v>31</v>
      </c>
      <c r="N41" s="16" t="str">
        <f>Tabla14[[#This Row],[ABR_02]]</f>
        <v>SF</v>
      </c>
      <c r="O41" t="s">
        <v>32</v>
      </c>
      <c r="P41" t="s">
        <v>33</v>
      </c>
      <c r="Q41" t="s">
        <v>32</v>
      </c>
      <c r="R41" t="s">
        <v>35</v>
      </c>
      <c r="S41" t="str">
        <f>_xlfn.CONCAT(Tabla14[[#This Row],[ABR_01]],"X",Tabla14[[#This Row],[ABR_02]],Tabla14[[#This Row],[ZONA2]],,"X",Tabla14[[#This Row],[PARADA2]])</f>
        <v>ARXSF1X11</v>
      </c>
      <c r="T41" t="str">
        <f>Tabla14[[#This Row],[ABR_01]]&amp;Tabla14[[#This Row],[ABR_02]]&amp;Tabla14[[#This Row],[PARADA2]]</f>
        <v>ARSF11</v>
      </c>
      <c r="U41" s="37" t="s">
        <v>36</v>
      </c>
      <c r="V41" s="37" t="s">
        <v>36</v>
      </c>
      <c r="W41">
        <f>LEN(Tabla14[[#This Row],[Transport Zone 2]])</f>
        <v>9</v>
      </c>
    </row>
    <row r="42" spans="2:23" ht="16" hidden="1" thickTop="1" x14ac:dyDescent="0.2">
      <c r="B42" s="19" t="s">
        <v>40</v>
      </c>
      <c r="C42" s="8" t="s">
        <v>131</v>
      </c>
      <c r="D42" s="17" t="s">
        <v>131</v>
      </c>
      <c r="E42" s="9" t="s">
        <v>108</v>
      </c>
      <c r="F42" s="10" t="s">
        <v>109</v>
      </c>
      <c r="G42" s="13">
        <v>337</v>
      </c>
      <c r="H42" s="10">
        <v>785</v>
      </c>
      <c r="I42" s="24" t="s">
        <v>27</v>
      </c>
      <c r="J42" s="24" t="s">
        <v>110</v>
      </c>
      <c r="K42" s="25" t="s">
        <v>29</v>
      </c>
      <c r="L42" s="25" t="s">
        <v>132</v>
      </c>
      <c r="M42" s="15" t="s">
        <v>31</v>
      </c>
      <c r="N42" s="16" t="str">
        <f>Tabla14[[#This Row],[ABR_02]]</f>
        <v>SF</v>
      </c>
      <c r="O42" t="s">
        <v>32</v>
      </c>
      <c r="P42" t="s">
        <v>33</v>
      </c>
      <c r="Q42" t="s">
        <v>32</v>
      </c>
      <c r="R42" t="s">
        <v>35</v>
      </c>
      <c r="S42" t="str">
        <f>_xlfn.CONCAT(Tabla14[[#This Row],[ABR_01]],"X",Tabla14[[#This Row],[ABR_02]],Tabla14[[#This Row],[ZONA2]],,"X",Tabla14[[#This Row],[PARADA2]])</f>
        <v>ARXSF1X12</v>
      </c>
      <c r="T42" t="str">
        <f>Tabla14[[#This Row],[ABR_01]]&amp;Tabla14[[#This Row],[ABR_02]]&amp;Tabla14[[#This Row],[PARADA2]]</f>
        <v>ARSF12</v>
      </c>
      <c r="U42" s="37" t="s">
        <v>36</v>
      </c>
      <c r="V42" s="37" t="s">
        <v>36</v>
      </c>
      <c r="W42">
        <f>LEN(Tabla14[[#This Row],[Transport Zone 2]])</f>
        <v>9</v>
      </c>
    </row>
    <row r="43" spans="2:23" ht="16" hidden="1" thickTop="1" x14ac:dyDescent="0.2">
      <c r="B43" s="19" t="s">
        <v>40</v>
      </c>
      <c r="C43" s="8" t="s">
        <v>133</v>
      </c>
      <c r="D43" s="17" t="s">
        <v>133</v>
      </c>
      <c r="E43" s="9" t="s">
        <v>108</v>
      </c>
      <c r="F43" s="10" t="s">
        <v>109</v>
      </c>
      <c r="G43" s="13">
        <v>337</v>
      </c>
      <c r="H43" s="10">
        <v>745</v>
      </c>
      <c r="I43" s="24" t="s">
        <v>27</v>
      </c>
      <c r="J43" s="24" t="s">
        <v>110</v>
      </c>
      <c r="K43" s="25" t="s">
        <v>29</v>
      </c>
      <c r="L43" s="25" t="s">
        <v>134</v>
      </c>
      <c r="M43" s="15" t="s">
        <v>31</v>
      </c>
      <c r="N43" s="16" t="str">
        <f>Tabla14[[#This Row],[ABR_02]]</f>
        <v>SF</v>
      </c>
      <c r="O43" t="s">
        <v>32</v>
      </c>
      <c r="P43" t="s">
        <v>33</v>
      </c>
      <c r="Q43" t="s">
        <v>32</v>
      </c>
      <c r="R43" t="s">
        <v>35</v>
      </c>
      <c r="S43" t="str">
        <f>_xlfn.CONCAT(Tabla14[[#This Row],[ABR_01]],"X",Tabla14[[#This Row],[ABR_02]],Tabla14[[#This Row],[ZONA2]],,"X",Tabla14[[#This Row],[PARADA2]])</f>
        <v>ARXSF1X13</v>
      </c>
      <c r="T43" t="str">
        <f>Tabla14[[#This Row],[ABR_01]]&amp;Tabla14[[#This Row],[ABR_02]]&amp;Tabla14[[#This Row],[PARADA2]]</f>
        <v>ARSF13</v>
      </c>
      <c r="U43" s="37" t="s">
        <v>36</v>
      </c>
      <c r="V43" s="37" t="s">
        <v>36</v>
      </c>
      <c r="W43">
        <f>LEN(Tabla14[[#This Row],[Transport Zone 2]])</f>
        <v>9</v>
      </c>
    </row>
    <row r="44" spans="2:23" ht="16" hidden="1" thickTop="1" x14ac:dyDescent="0.2">
      <c r="B44" s="19" t="s">
        <v>40</v>
      </c>
      <c r="C44" s="8" t="s">
        <v>135</v>
      </c>
      <c r="D44" s="12" t="s">
        <v>136</v>
      </c>
      <c r="E44" s="9" t="s">
        <v>108</v>
      </c>
      <c r="F44" s="10" t="s">
        <v>109</v>
      </c>
      <c r="G44" s="13">
        <v>337</v>
      </c>
      <c r="H44" s="10">
        <v>715</v>
      </c>
      <c r="I44" s="24" t="s">
        <v>27</v>
      </c>
      <c r="J44" s="24" t="s">
        <v>110</v>
      </c>
      <c r="K44" s="25" t="s">
        <v>29</v>
      </c>
      <c r="L44" s="25" t="s">
        <v>137</v>
      </c>
      <c r="M44" s="15" t="s">
        <v>31</v>
      </c>
      <c r="N44" s="16" t="str">
        <f>Tabla14[[#This Row],[ABR_02]]</f>
        <v>SF</v>
      </c>
      <c r="O44" t="s">
        <v>32</v>
      </c>
      <c r="P44" t="s">
        <v>33</v>
      </c>
      <c r="Q44" t="s">
        <v>32</v>
      </c>
      <c r="R44" t="s">
        <v>35</v>
      </c>
      <c r="S44" t="str">
        <f>_xlfn.CONCAT(Tabla14[[#This Row],[ABR_01]],"X",Tabla14[[#This Row],[ABR_02]],Tabla14[[#This Row],[ZONA2]],,"X",Tabla14[[#This Row],[PARADA2]])</f>
        <v>ARXSF1X14</v>
      </c>
      <c r="T44" t="str">
        <f>Tabla14[[#This Row],[ABR_01]]&amp;Tabla14[[#This Row],[ABR_02]]&amp;Tabla14[[#This Row],[PARADA2]]</f>
        <v>ARSF14</v>
      </c>
      <c r="U44" s="37" t="s">
        <v>36</v>
      </c>
      <c r="V44" s="37" t="s">
        <v>36</v>
      </c>
      <c r="W44">
        <f>LEN(Tabla14[[#This Row],[Transport Zone 2]])</f>
        <v>9</v>
      </c>
    </row>
    <row r="45" spans="2:23" ht="16" hidden="1" thickTop="1" x14ac:dyDescent="0.2">
      <c r="B45" s="19" t="s">
        <v>40</v>
      </c>
      <c r="C45" s="8" t="s">
        <v>138</v>
      </c>
      <c r="D45" s="12" t="s">
        <v>139</v>
      </c>
      <c r="E45" s="9" t="s">
        <v>108</v>
      </c>
      <c r="F45" s="10" t="s">
        <v>109</v>
      </c>
      <c r="G45" s="13">
        <v>337</v>
      </c>
      <c r="H45" s="10">
        <v>798</v>
      </c>
      <c r="I45" s="24" t="s">
        <v>27</v>
      </c>
      <c r="J45" s="24" t="s">
        <v>110</v>
      </c>
      <c r="K45" s="25" t="s">
        <v>29</v>
      </c>
      <c r="L45" s="25" t="s">
        <v>140</v>
      </c>
      <c r="M45" s="15" t="s">
        <v>31</v>
      </c>
      <c r="N45" s="16" t="str">
        <f>Tabla14[[#This Row],[ABR_02]]</f>
        <v>SF</v>
      </c>
      <c r="O45" t="s">
        <v>32</v>
      </c>
      <c r="P45" t="s">
        <v>33</v>
      </c>
      <c r="Q45" t="s">
        <v>32</v>
      </c>
      <c r="R45" t="s">
        <v>35</v>
      </c>
      <c r="S45" t="str">
        <f>_xlfn.CONCAT(Tabla14[[#This Row],[ABR_01]],"X",Tabla14[[#This Row],[ABR_02]],Tabla14[[#This Row],[ZONA2]],,"X",Tabla14[[#This Row],[PARADA2]])</f>
        <v>ARXSF1X15</v>
      </c>
      <c r="T45" t="str">
        <f>Tabla14[[#This Row],[ABR_01]]&amp;Tabla14[[#This Row],[ABR_02]]&amp;Tabla14[[#This Row],[PARADA2]]</f>
        <v>ARSF15</v>
      </c>
      <c r="U45" s="37" t="s">
        <v>36</v>
      </c>
      <c r="V45" s="37" t="s">
        <v>36</v>
      </c>
      <c r="W45">
        <f>LEN(Tabla14[[#This Row],[Transport Zone 2]])</f>
        <v>9</v>
      </c>
    </row>
    <row r="46" spans="2:23" ht="16" hidden="1" thickTop="1" x14ac:dyDescent="0.2">
      <c r="B46" s="19" t="s">
        <v>40</v>
      </c>
      <c r="C46" s="8" t="s">
        <v>141</v>
      </c>
      <c r="D46" s="12" t="s">
        <v>142</v>
      </c>
      <c r="E46" s="9" t="s">
        <v>108</v>
      </c>
      <c r="F46" s="10" t="s">
        <v>109</v>
      </c>
      <c r="G46" s="13">
        <v>337</v>
      </c>
      <c r="H46" s="10">
        <v>700</v>
      </c>
      <c r="I46" s="24" t="s">
        <v>27</v>
      </c>
      <c r="J46" s="24" t="s">
        <v>110</v>
      </c>
      <c r="K46" s="25" t="s">
        <v>29</v>
      </c>
      <c r="L46" s="25" t="s">
        <v>143</v>
      </c>
      <c r="M46" s="15" t="s">
        <v>31</v>
      </c>
      <c r="N46" s="16" t="str">
        <f>Tabla14[[#This Row],[ABR_02]]</f>
        <v>SF</v>
      </c>
      <c r="O46" t="s">
        <v>32</v>
      </c>
      <c r="P46" t="s">
        <v>33</v>
      </c>
      <c r="Q46" t="s">
        <v>32</v>
      </c>
      <c r="R46" t="s">
        <v>35</v>
      </c>
      <c r="S46" t="str">
        <f>_xlfn.CONCAT(Tabla14[[#This Row],[ABR_01]],"X",Tabla14[[#This Row],[ABR_02]],Tabla14[[#This Row],[ZONA2]],,"X",Tabla14[[#This Row],[PARADA2]])</f>
        <v>ARXSF1X16</v>
      </c>
      <c r="T46" t="str">
        <f>Tabla14[[#This Row],[ABR_01]]&amp;Tabla14[[#This Row],[ABR_02]]&amp;Tabla14[[#This Row],[PARADA2]]</f>
        <v>ARSF16</v>
      </c>
      <c r="U46" s="37" t="s">
        <v>36</v>
      </c>
      <c r="V46" s="37" t="s">
        <v>36</v>
      </c>
      <c r="W46">
        <f>LEN(Tabla14[[#This Row],[Transport Zone 2]])</f>
        <v>9</v>
      </c>
    </row>
    <row r="47" spans="2:23" ht="16" hidden="1" thickTop="1" x14ac:dyDescent="0.2">
      <c r="B47" s="19" t="s">
        <v>40</v>
      </c>
      <c r="C47" s="8" t="s">
        <v>144</v>
      </c>
      <c r="D47" s="12" t="s">
        <v>145</v>
      </c>
      <c r="E47" s="9" t="s">
        <v>108</v>
      </c>
      <c r="F47" s="10" t="s">
        <v>109</v>
      </c>
      <c r="G47" s="13">
        <v>337</v>
      </c>
      <c r="H47" s="10">
        <v>714</v>
      </c>
      <c r="I47" s="24" t="s">
        <v>27</v>
      </c>
      <c r="J47" s="24" t="s">
        <v>110</v>
      </c>
      <c r="K47" s="25" t="s">
        <v>29</v>
      </c>
      <c r="L47" s="25" t="s">
        <v>146</v>
      </c>
      <c r="M47" s="15" t="s">
        <v>31</v>
      </c>
      <c r="N47" s="16" t="str">
        <f>Tabla14[[#This Row],[ABR_02]]</f>
        <v>SF</v>
      </c>
      <c r="O47" t="s">
        <v>32</v>
      </c>
      <c r="P47" t="s">
        <v>33</v>
      </c>
      <c r="Q47" t="s">
        <v>32</v>
      </c>
      <c r="R47" t="s">
        <v>35</v>
      </c>
      <c r="S47" t="str">
        <f>_xlfn.CONCAT(Tabla14[[#This Row],[ABR_01]],"X",Tabla14[[#This Row],[ABR_02]],Tabla14[[#This Row],[ZONA2]],,"X",Tabla14[[#This Row],[PARADA2]])</f>
        <v>ARXSF1X17</v>
      </c>
      <c r="T47" t="str">
        <f>Tabla14[[#This Row],[ABR_01]]&amp;Tabla14[[#This Row],[ABR_02]]&amp;Tabla14[[#This Row],[PARADA2]]</f>
        <v>ARSF17</v>
      </c>
      <c r="U47" s="37" t="s">
        <v>36</v>
      </c>
      <c r="V47" s="37" t="s">
        <v>36</v>
      </c>
      <c r="W47">
        <f>LEN(Tabla14[[#This Row],[Transport Zone 2]])</f>
        <v>9</v>
      </c>
    </row>
    <row r="48" spans="2:23" ht="16" hidden="1" thickTop="1" x14ac:dyDescent="0.2">
      <c r="B48" s="19" t="s">
        <v>40</v>
      </c>
      <c r="C48" s="8" t="s">
        <v>147</v>
      </c>
      <c r="D48" s="17" t="s">
        <v>147</v>
      </c>
      <c r="E48" s="9" t="s">
        <v>108</v>
      </c>
      <c r="F48" s="10" t="s">
        <v>109</v>
      </c>
      <c r="G48" s="13">
        <v>337</v>
      </c>
      <c r="H48" s="10">
        <v>730</v>
      </c>
      <c r="I48" s="24" t="s">
        <v>27</v>
      </c>
      <c r="J48" s="24" t="s">
        <v>110</v>
      </c>
      <c r="K48" s="25" t="s">
        <v>29</v>
      </c>
      <c r="L48" s="25" t="s">
        <v>148</v>
      </c>
      <c r="M48" s="15" t="s">
        <v>31</v>
      </c>
      <c r="N48" s="16" t="str">
        <f>Tabla14[[#This Row],[ABR_02]]</f>
        <v>SF</v>
      </c>
      <c r="O48" t="s">
        <v>32</v>
      </c>
      <c r="P48" t="s">
        <v>33</v>
      </c>
      <c r="Q48" t="s">
        <v>32</v>
      </c>
      <c r="R48" t="s">
        <v>35</v>
      </c>
      <c r="S48" t="str">
        <f>_xlfn.CONCAT(Tabla14[[#This Row],[ABR_01]],"X",Tabla14[[#This Row],[ABR_02]],Tabla14[[#This Row],[ZONA2]],,"X",Tabla14[[#This Row],[PARADA2]])</f>
        <v>ARXSF1X18</v>
      </c>
      <c r="T48" t="str">
        <f>Tabla14[[#This Row],[ABR_01]]&amp;Tabla14[[#This Row],[ABR_02]]&amp;Tabla14[[#This Row],[PARADA2]]</f>
        <v>ARSF18</v>
      </c>
      <c r="U48" s="37" t="s">
        <v>36</v>
      </c>
      <c r="V48" s="37" t="s">
        <v>36</v>
      </c>
      <c r="W48">
        <f>LEN(Tabla14[[#This Row],[Transport Zone 2]])</f>
        <v>9</v>
      </c>
    </row>
    <row r="49" spans="2:23" ht="16" hidden="1" thickTop="1" x14ac:dyDescent="0.2">
      <c r="B49" s="19" t="s">
        <v>40</v>
      </c>
      <c r="C49" s="8" t="s">
        <v>149</v>
      </c>
      <c r="D49" s="12" t="s">
        <v>150</v>
      </c>
      <c r="E49" s="9" t="s">
        <v>108</v>
      </c>
      <c r="F49" s="10" t="s">
        <v>109</v>
      </c>
      <c r="G49" s="13">
        <v>337</v>
      </c>
      <c r="H49" s="10">
        <v>790</v>
      </c>
      <c r="I49" s="24" t="s">
        <v>27</v>
      </c>
      <c r="J49" s="24" t="s">
        <v>110</v>
      </c>
      <c r="K49" s="25" t="s">
        <v>29</v>
      </c>
      <c r="L49" s="25" t="s">
        <v>151</v>
      </c>
      <c r="M49" s="15" t="s">
        <v>31</v>
      </c>
      <c r="N49" s="16" t="str">
        <f>Tabla14[[#This Row],[ABR_02]]</f>
        <v>SF</v>
      </c>
      <c r="O49" t="s">
        <v>32</v>
      </c>
      <c r="P49" t="s">
        <v>33</v>
      </c>
      <c r="Q49" t="s">
        <v>32</v>
      </c>
      <c r="R49" t="s">
        <v>35</v>
      </c>
      <c r="S49" t="str">
        <f>_xlfn.CONCAT(Tabla14[[#This Row],[ABR_01]],"X",Tabla14[[#This Row],[ABR_02]],Tabla14[[#This Row],[ZONA2]],,"X",Tabla14[[#This Row],[PARADA2]])</f>
        <v>ARXSF1X19</v>
      </c>
      <c r="T49" t="str">
        <f>Tabla14[[#This Row],[ABR_01]]&amp;Tabla14[[#This Row],[ABR_02]]&amp;Tabla14[[#This Row],[PARADA2]]</f>
        <v>ARSF19</v>
      </c>
      <c r="U49" s="37" t="s">
        <v>36</v>
      </c>
      <c r="V49" s="37" t="s">
        <v>36</v>
      </c>
      <c r="W49">
        <f>LEN(Tabla14[[#This Row],[Transport Zone 2]])</f>
        <v>9</v>
      </c>
    </row>
    <row r="50" spans="2:23" ht="16" hidden="1" thickTop="1" x14ac:dyDescent="0.2">
      <c r="B50" s="19" t="s">
        <v>40</v>
      </c>
      <c r="C50" s="8" t="s">
        <v>152</v>
      </c>
      <c r="D50" s="17" t="s">
        <v>152</v>
      </c>
      <c r="E50" s="9" t="s">
        <v>108</v>
      </c>
      <c r="F50" s="10" t="s">
        <v>109</v>
      </c>
      <c r="G50" s="13">
        <v>337</v>
      </c>
      <c r="H50" s="10">
        <v>712</v>
      </c>
      <c r="I50" s="24" t="s">
        <v>27</v>
      </c>
      <c r="J50" s="24" t="s">
        <v>110</v>
      </c>
      <c r="K50" s="25" t="s">
        <v>29</v>
      </c>
      <c r="L50" s="25" t="s">
        <v>153</v>
      </c>
      <c r="M50" s="15" t="s">
        <v>31</v>
      </c>
      <c r="N50" s="16" t="str">
        <f>Tabla14[[#This Row],[ABR_02]]</f>
        <v>SF</v>
      </c>
      <c r="O50" t="s">
        <v>32</v>
      </c>
      <c r="P50" t="s">
        <v>33</v>
      </c>
      <c r="Q50" t="s">
        <v>32</v>
      </c>
      <c r="R50" t="s">
        <v>35</v>
      </c>
      <c r="S50" t="str">
        <f>_xlfn.CONCAT(Tabla14[[#This Row],[ABR_01]],"X",Tabla14[[#This Row],[ABR_02]],Tabla14[[#This Row],[ZONA2]],,"X",Tabla14[[#This Row],[PARADA2]])</f>
        <v>ARXSF1X20</v>
      </c>
      <c r="T50" t="str">
        <f>Tabla14[[#This Row],[ABR_01]]&amp;Tabla14[[#This Row],[ABR_02]]&amp;Tabla14[[#This Row],[PARADA2]]</f>
        <v>ARSF20</v>
      </c>
      <c r="U50" s="37" t="s">
        <v>36</v>
      </c>
      <c r="V50" s="37" t="s">
        <v>36</v>
      </c>
      <c r="W50">
        <f>LEN(Tabla14[[#This Row],[Transport Zone 2]])</f>
        <v>9</v>
      </c>
    </row>
    <row r="51" spans="2:23" ht="16" hidden="1" thickTop="1" x14ac:dyDescent="0.2">
      <c r="B51" s="19" t="s">
        <v>40</v>
      </c>
      <c r="C51" s="8" t="s">
        <v>154</v>
      </c>
      <c r="D51" s="12" t="s">
        <v>155</v>
      </c>
      <c r="E51" s="9" t="s">
        <v>108</v>
      </c>
      <c r="F51" s="10" t="s">
        <v>109</v>
      </c>
      <c r="G51" s="13">
        <v>337</v>
      </c>
      <c r="H51" s="10">
        <v>765</v>
      </c>
      <c r="I51" s="24" t="s">
        <v>27</v>
      </c>
      <c r="J51" s="24" t="s">
        <v>110</v>
      </c>
      <c r="K51" s="25" t="s">
        <v>29</v>
      </c>
      <c r="L51" s="25" t="s">
        <v>156</v>
      </c>
      <c r="M51" s="15" t="s">
        <v>31</v>
      </c>
      <c r="N51" s="16" t="str">
        <f>Tabla14[[#This Row],[ABR_02]]</f>
        <v>SF</v>
      </c>
      <c r="O51" t="s">
        <v>32</v>
      </c>
      <c r="P51" t="s">
        <v>33</v>
      </c>
      <c r="Q51" t="s">
        <v>32</v>
      </c>
      <c r="R51" t="s">
        <v>35</v>
      </c>
      <c r="S51" t="str">
        <f>_xlfn.CONCAT(Tabla14[[#This Row],[ABR_01]],"X",Tabla14[[#This Row],[ABR_02]],Tabla14[[#This Row],[ZONA2]],,"X",Tabla14[[#This Row],[PARADA2]])</f>
        <v>ARXSF1X21</v>
      </c>
      <c r="T51" t="str">
        <f>Tabla14[[#This Row],[ABR_01]]&amp;Tabla14[[#This Row],[ABR_02]]&amp;Tabla14[[#This Row],[PARADA2]]</f>
        <v>ARSF21</v>
      </c>
      <c r="U51" s="37" t="s">
        <v>36</v>
      </c>
      <c r="V51" s="37" t="s">
        <v>36</v>
      </c>
      <c r="W51">
        <f>LEN(Tabla14[[#This Row],[Transport Zone 2]])</f>
        <v>9</v>
      </c>
    </row>
    <row r="52" spans="2:23" ht="16" hidden="1" thickTop="1" x14ac:dyDescent="0.2">
      <c r="B52" s="19" t="s">
        <v>40</v>
      </c>
      <c r="C52" s="8" t="s">
        <v>157</v>
      </c>
      <c r="D52" s="17" t="s">
        <v>157</v>
      </c>
      <c r="E52" s="9" t="s">
        <v>108</v>
      </c>
      <c r="F52" s="10" t="s">
        <v>109</v>
      </c>
      <c r="G52" s="13">
        <v>337</v>
      </c>
      <c r="H52" s="10">
        <v>337</v>
      </c>
      <c r="I52" s="24" t="s">
        <v>27</v>
      </c>
      <c r="J52" s="24" t="s">
        <v>110</v>
      </c>
      <c r="K52" s="25" t="s">
        <v>29</v>
      </c>
      <c r="L52" s="25" t="s">
        <v>158</v>
      </c>
      <c r="M52" s="15" t="s">
        <v>31</v>
      </c>
      <c r="N52" s="16" t="str">
        <f>Tabla14[[#This Row],[ABR_02]]</f>
        <v>SF</v>
      </c>
      <c r="O52" t="s">
        <v>32</v>
      </c>
      <c r="P52" t="s">
        <v>33</v>
      </c>
      <c r="Q52" t="s">
        <v>32</v>
      </c>
      <c r="R52" t="s">
        <v>35</v>
      </c>
      <c r="S52" t="str">
        <f>_xlfn.CONCAT(Tabla14[[#This Row],[ABR_01]],"X",Tabla14[[#This Row],[ABR_02]],Tabla14[[#This Row],[ZONA2]],,"X",Tabla14[[#This Row],[PARADA2]])</f>
        <v>ARXSF1X22</v>
      </c>
      <c r="T52" t="str">
        <f>Tabla14[[#This Row],[ABR_01]]&amp;Tabla14[[#This Row],[ABR_02]]&amp;Tabla14[[#This Row],[PARADA2]]</f>
        <v>ARSF22</v>
      </c>
      <c r="U52" s="37" t="s">
        <v>36</v>
      </c>
      <c r="V52" s="37" t="s">
        <v>36</v>
      </c>
      <c r="W52">
        <f>LEN(Tabla14[[#This Row],[Transport Zone 2]])</f>
        <v>9</v>
      </c>
    </row>
    <row r="53" spans="2:23" ht="16" hidden="1" thickTop="1" x14ac:dyDescent="0.2">
      <c r="B53" s="19" t="s">
        <v>40</v>
      </c>
      <c r="C53" s="8" t="s">
        <v>159</v>
      </c>
      <c r="D53" s="17" t="s">
        <v>160</v>
      </c>
      <c r="E53" s="9" t="s">
        <v>108</v>
      </c>
      <c r="F53" s="10" t="s">
        <v>109</v>
      </c>
      <c r="G53" s="13">
        <v>337</v>
      </c>
      <c r="H53" s="10">
        <v>770</v>
      </c>
      <c r="I53" s="24" t="s">
        <v>27</v>
      </c>
      <c r="J53" s="24" t="s">
        <v>110</v>
      </c>
      <c r="K53" s="25" t="s">
        <v>29</v>
      </c>
      <c r="L53" s="25" t="s">
        <v>161</v>
      </c>
      <c r="M53" s="15" t="s">
        <v>31</v>
      </c>
      <c r="N53" s="16" t="str">
        <f>Tabla14[[#This Row],[ABR_02]]</f>
        <v>SF</v>
      </c>
      <c r="O53" t="s">
        <v>32</v>
      </c>
      <c r="P53" t="s">
        <v>33</v>
      </c>
      <c r="Q53" t="s">
        <v>32</v>
      </c>
      <c r="R53" t="s">
        <v>35</v>
      </c>
      <c r="S53" t="str">
        <f>_xlfn.CONCAT(Tabla14[[#This Row],[ABR_01]],"X",Tabla14[[#This Row],[ABR_02]],Tabla14[[#This Row],[ZONA2]],,"X",Tabla14[[#This Row],[PARADA2]])</f>
        <v>ARXSF1X23</v>
      </c>
      <c r="T53" t="str">
        <f>Tabla14[[#This Row],[ABR_01]]&amp;Tabla14[[#This Row],[ABR_02]]&amp;Tabla14[[#This Row],[PARADA2]]</f>
        <v>ARSF23</v>
      </c>
      <c r="U53" s="37" t="s">
        <v>36</v>
      </c>
      <c r="V53" s="37" t="s">
        <v>36</v>
      </c>
      <c r="W53">
        <f>LEN(Tabla14[[#This Row],[Transport Zone 2]])</f>
        <v>9</v>
      </c>
    </row>
    <row r="54" spans="2:23" ht="16" hidden="1" thickTop="1" x14ac:dyDescent="0.2">
      <c r="B54" s="19" t="s">
        <v>40</v>
      </c>
      <c r="C54" s="8" t="s">
        <v>162</v>
      </c>
      <c r="D54" s="12" t="s">
        <v>163</v>
      </c>
      <c r="E54" s="9" t="s">
        <v>108</v>
      </c>
      <c r="F54" s="10" t="s">
        <v>109</v>
      </c>
      <c r="G54" s="13">
        <v>337</v>
      </c>
      <c r="H54" s="10">
        <v>740</v>
      </c>
      <c r="I54" s="24" t="s">
        <v>27</v>
      </c>
      <c r="J54" s="24" t="s">
        <v>110</v>
      </c>
      <c r="K54" s="25" t="s">
        <v>29</v>
      </c>
      <c r="L54" s="25" t="s">
        <v>164</v>
      </c>
      <c r="M54" s="15" t="s">
        <v>31</v>
      </c>
      <c r="N54" s="16" t="str">
        <f>Tabla14[[#This Row],[ABR_02]]</f>
        <v>SF</v>
      </c>
      <c r="O54" t="s">
        <v>32</v>
      </c>
      <c r="P54" t="s">
        <v>33</v>
      </c>
      <c r="Q54" t="s">
        <v>32</v>
      </c>
      <c r="R54" t="s">
        <v>35</v>
      </c>
      <c r="S54" t="str">
        <f>_xlfn.CONCAT(Tabla14[[#This Row],[ABR_01]],"X",Tabla14[[#This Row],[ABR_02]],Tabla14[[#This Row],[ZONA2]],,"X",Tabla14[[#This Row],[PARADA2]])</f>
        <v>ARXSF1X24</v>
      </c>
      <c r="T54" t="str">
        <f>Tabla14[[#This Row],[ABR_01]]&amp;Tabla14[[#This Row],[ABR_02]]&amp;Tabla14[[#This Row],[PARADA2]]</f>
        <v>ARSF24</v>
      </c>
      <c r="U54" s="37" t="s">
        <v>36</v>
      </c>
      <c r="V54" s="37" t="s">
        <v>36</v>
      </c>
      <c r="W54">
        <f>LEN(Tabla14[[#This Row],[Transport Zone 2]])</f>
        <v>9</v>
      </c>
    </row>
    <row r="55" spans="2:23" ht="16" hidden="1" thickTop="1" x14ac:dyDescent="0.2">
      <c r="B55" s="19" t="s">
        <v>40</v>
      </c>
      <c r="C55" s="8" t="s">
        <v>165</v>
      </c>
      <c r="D55" s="17" t="s">
        <v>165</v>
      </c>
      <c r="E55" s="9" t="s">
        <v>108</v>
      </c>
      <c r="F55" s="10" t="s">
        <v>109</v>
      </c>
      <c r="G55" s="13">
        <v>337</v>
      </c>
      <c r="H55" s="10">
        <v>702</v>
      </c>
      <c r="I55" s="24" t="s">
        <v>27</v>
      </c>
      <c r="J55" s="24" t="s">
        <v>110</v>
      </c>
      <c r="K55" s="25" t="s">
        <v>29</v>
      </c>
      <c r="L55" s="25" t="s">
        <v>166</v>
      </c>
      <c r="M55" s="15" t="s">
        <v>31</v>
      </c>
      <c r="N55" s="16" t="str">
        <f>Tabla14[[#This Row],[ABR_02]]</f>
        <v>SF</v>
      </c>
      <c r="O55" t="s">
        <v>32</v>
      </c>
      <c r="P55" t="s">
        <v>33</v>
      </c>
      <c r="Q55" t="s">
        <v>32</v>
      </c>
      <c r="R55" t="s">
        <v>35</v>
      </c>
      <c r="S55" t="str">
        <f>_xlfn.CONCAT(Tabla14[[#This Row],[ABR_01]],"X",Tabla14[[#This Row],[ABR_02]],Tabla14[[#This Row],[ZONA2]],,"X",Tabla14[[#This Row],[PARADA2]])</f>
        <v>ARXSF1X25</v>
      </c>
      <c r="T55" t="str">
        <f>Tabla14[[#This Row],[ABR_01]]&amp;Tabla14[[#This Row],[ABR_02]]&amp;Tabla14[[#This Row],[PARADA2]]</f>
        <v>ARSF25</v>
      </c>
      <c r="U55" s="37" t="s">
        <v>36</v>
      </c>
      <c r="V55" s="37" t="s">
        <v>36</v>
      </c>
      <c r="W55">
        <f>LEN(Tabla14[[#This Row],[Transport Zone 2]])</f>
        <v>9</v>
      </c>
    </row>
    <row r="56" spans="2:23" ht="16" hidden="1" thickTop="1" x14ac:dyDescent="0.2">
      <c r="B56" s="19" t="s">
        <v>40</v>
      </c>
      <c r="C56" s="8" t="s">
        <v>167</v>
      </c>
      <c r="D56" s="12" t="s">
        <v>168</v>
      </c>
      <c r="E56" s="9" t="s">
        <v>169</v>
      </c>
      <c r="F56" s="10" t="s">
        <v>55</v>
      </c>
      <c r="G56" s="13">
        <v>270</v>
      </c>
      <c r="H56" s="10">
        <v>959</v>
      </c>
      <c r="I56" s="24" t="s">
        <v>27</v>
      </c>
      <c r="J56" s="24" t="s">
        <v>170</v>
      </c>
      <c r="K56" s="25" t="s">
        <v>29</v>
      </c>
      <c r="L56" s="25" t="s">
        <v>30</v>
      </c>
      <c r="M56" s="15" t="s">
        <v>31</v>
      </c>
      <c r="N56" s="16" t="str">
        <f>Tabla14[[#This Row],[ABR_02]]</f>
        <v>SC</v>
      </c>
      <c r="O56" t="s">
        <v>32</v>
      </c>
      <c r="P56" t="s">
        <v>33</v>
      </c>
      <c r="Q56" t="s">
        <v>57</v>
      </c>
      <c r="R56" t="s">
        <v>35</v>
      </c>
      <c r="S56" t="str">
        <f>_xlfn.CONCAT(Tabla14[[#This Row],[ABR_01]],"X",Tabla14[[#This Row],[ABR_02]],Tabla14[[#This Row],[ZONA2]],,"X",Tabla14[[#This Row],[PARADA2]])</f>
        <v>ARXSC1X01</v>
      </c>
      <c r="T56" t="str">
        <f>Tabla14[[#This Row],[ABR_01]]&amp;Tabla14[[#This Row],[ABR_02]]&amp;Tabla14[[#This Row],[PARADA2]]</f>
        <v>ARSC01</v>
      </c>
      <c r="U56" s="37" t="s">
        <v>36</v>
      </c>
      <c r="V56" s="37" t="s">
        <v>36</v>
      </c>
      <c r="W56">
        <f>LEN(Tabla14[[#This Row],[Transport Zone 2]])</f>
        <v>9</v>
      </c>
    </row>
    <row r="57" spans="2:23" ht="16" hidden="1" thickTop="1" x14ac:dyDescent="0.2">
      <c r="B57" s="19" t="s">
        <v>40</v>
      </c>
      <c r="C57" s="8" t="s">
        <v>171</v>
      </c>
      <c r="D57" s="12" t="s">
        <v>172</v>
      </c>
      <c r="E57" s="9" t="s">
        <v>169</v>
      </c>
      <c r="F57" s="10" t="s">
        <v>55</v>
      </c>
      <c r="G57" s="13">
        <v>270</v>
      </c>
      <c r="H57" s="10">
        <v>970</v>
      </c>
      <c r="I57" s="24" t="s">
        <v>27</v>
      </c>
      <c r="J57" s="24" t="s">
        <v>170</v>
      </c>
      <c r="K57" s="25" t="s">
        <v>29</v>
      </c>
      <c r="L57" s="25" t="s">
        <v>46</v>
      </c>
      <c r="M57" s="15" t="s">
        <v>31</v>
      </c>
      <c r="N57" s="16" t="str">
        <f>Tabla14[[#This Row],[ABR_02]]</f>
        <v>SC</v>
      </c>
      <c r="O57" t="s">
        <v>32</v>
      </c>
      <c r="P57" t="s">
        <v>33</v>
      </c>
      <c r="Q57" t="s">
        <v>57</v>
      </c>
      <c r="R57" t="s">
        <v>35</v>
      </c>
      <c r="S57" t="str">
        <f>_xlfn.CONCAT(Tabla14[[#This Row],[ABR_01]],"X",Tabla14[[#This Row],[ABR_02]],Tabla14[[#This Row],[ZONA2]],,"X",Tabla14[[#This Row],[PARADA2]])</f>
        <v>ARXSC1X02</v>
      </c>
      <c r="T57" t="str">
        <f>Tabla14[[#This Row],[ABR_01]]&amp;Tabla14[[#This Row],[ABR_02]]&amp;Tabla14[[#This Row],[PARADA2]]</f>
        <v>ARSC02</v>
      </c>
      <c r="U57" s="37" t="s">
        <v>36</v>
      </c>
      <c r="V57" s="37" t="s">
        <v>36</v>
      </c>
      <c r="W57">
        <f>LEN(Tabla14[[#This Row],[Transport Zone 2]])</f>
        <v>9</v>
      </c>
    </row>
    <row r="58" spans="2:23" ht="16" hidden="1" thickTop="1" x14ac:dyDescent="0.2">
      <c r="B58" s="19" t="s">
        <v>40</v>
      </c>
      <c r="C58" s="8" t="s">
        <v>173</v>
      </c>
      <c r="D58" s="12" t="s">
        <v>174</v>
      </c>
      <c r="E58" s="9" t="s">
        <v>169</v>
      </c>
      <c r="F58" s="10" t="s">
        <v>55</v>
      </c>
      <c r="G58" s="13">
        <v>270</v>
      </c>
      <c r="H58" s="10">
        <v>980</v>
      </c>
      <c r="I58" s="24" t="s">
        <v>27</v>
      </c>
      <c r="J58" s="24" t="s">
        <v>170</v>
      </c>
      <c r="K58" s="25" t="s">
        <v>29</v>
      </c>
      <c r="L58" s="25" t="s">
        <v>48</v>
      </c>
      <c r="M58" s="15" t="s">
        <v>31</v>
      </c>
      <c r="N58" s="16" t="str">
        <f>Tabla14[[#This Row],[ABR_02]]</f>
        <v>SC</v>
      </c>
      <c r="O58" t="s">
        <v>32</v>
      </c>
      <c r="P58" t="s">
        <v>33</v>
      </c>
      <c r="Q58" t="s">
        <v>57</v>
      </c>
      <c r="R58" t="s">
        <v>35</v>
      </c>
      <c r="S58" t="str">
        <f>_xlfn.CONCAT(Tabla14[[#This Row],[ABR_01]],"X",Tabla14[[#This Row],[ABR_02]],Tabla14[[#This Row],[ZONA2]],,"X",Tabla14[[#This Row],[PARADA2]])</f>
        <v>ARXSC1X03</v>
      </c>
      <c r="T58" t="str">
        <f>Tabla14[[#This Row],[ABR_01]]&amp;Tabla14[[#This Row],[ABR_02]]&amp;Tabla14[[#This Row],[PARADA2]]</f>
        <v>ARSC03</v>
      </c>
      <c r="U58" s="37" t="s">
        <v>36</v>
      </c>
      <c r="V58" s="37" t="s">
        <v>36</v>
      </c>
      <c r="W58">
        <f>LEN(Tabla14[[#This Row],[Transport Zone 2]])</f>
        <v>9</v>
      </c>
    </row>
    <row r="59" spans="2:23" ht="16" hidden="1" thickTop="1" x14ac:dyDescent="0.2">
      <c r="B59" s="19" t="s">
        <v>40</v>
      </c>
      <c r="C59" s="8" t="s">
        <v>175</v>
      </c>
      <c r="D59" s="12" t="s">
        <v>176</v>
      </c>
      <c r="E59" s="9" t="s">
        <v>169</v>
      </c>
      <c r="F59" s="10" t="s">
        <v>55</v>
      </c>
      <c r="G59" s="13">
        <v>270</v>
      </c>
      <c r="H59" s="10">
        <v>974</v>
      </c>
      <c r="I59" s="24" t="s">
        <v>27</v>
      </c>
      <c r="J59" s="24" t="s">
        <v>170</v>
      </c>
      <c r="K59" s="25" t="s">
        <v>29</v>
      </c>
      <c r="L59" s="25" t="s">
        <v>51</v>
      </c>
      <c r="M59" s="15" t="s">
        <v>31</v>
      </c>
      <c r="N59" s="16" t="str">
        <f>Tabla14[[#This Row],[ABR_02]]</f>
        <v>SC</v>
      </c>
      <c r="O59" t="s">
        <v>32</v>
      </c>
      <c r="P59" t="s">
        <v>33</v>
      </c>
      <c r="Q59" t="s">
        <v>57</v>
      </c>
      <c r="R59" t="s">
        <v>35</v>
      </c>
      <c r="S59" t="str">
        <f>_xlfn.CONCAT(Tabla14[[#This Row],[ABR_01]],"X",Tabla14[[#This Row],[ABR_02]],Tabla14[[#This Row],[ZONA2]],,"X",Tabla14[[#This Row],[PARADA2]])</f>
        <v>ARXSC1X04</v>
      </c>
      <c r="T59" t="str">
        <f>Tabla14[[#This Row],[ABR_01]]&amp;Tabla14[[#This Row],[ABR_02]]&amp;Tabla14[[#This Row],[PARADA2]]</f>
        <v>ARSC04</v>
      </c>
      <c r="U59" s="37" t="s">
        <v>36</v>
      </c>
      <c r="V59" s="37" t="s">
        <v>36</v>
      </c>
      <c r="W59">
        <f>LEN(Tabla14[[#This Row],[Transport Zone 2]])</f>
        <v>9</v>
      </c>
    </row>
    <row r="60" spans="2:23" ht="16" hidden="1" thickTop="1" x14ac:dyDescent="0.2">
      <c r="B60" s="19" t="s">
        <v>40</v>
      </c>
      <c r="C60" s="8" t="s">
        <v>177</v>
      </c>
      <c r="D60" s="17" t="s">
        <v>178</v>
      </c>
      <c r="E60" s="9" t="s">
        <v>169</v>
      </c>
      <c r="F60" s="10" t="s">
        <v>55</v>
      </c>
      <c r="G60" s="13">
        <v>270</v>
      </c>
      <c r="H60" s="10">
        <v>958</v>
      </c>
      <c r="I60" s="24" t="s">
        <v>27</v>
      </c>
      <c r="J60" s="24" t="s">
        <v>170</v>
      </c>
      <c r="K60" s="25" t="s">
        <v>29</v>
      </c>
      <c r="L60" s="25" t="s">
        <v>65</v>
      </c>
      <c r="M60" s="15" t="s">
        <v>31</v>
      </c>
      <c r="N60" s="16" t="str">
        <f>Tabla14[[#This Row],[ABR_02]]</f>
        <v>SC</v>
      </c>
      <c r="O60" t="s">
        <v>32</v>
      </c>
      <c r="P60" t="s">
        <v>33</v>
      </c>
      <c r="Q60" t="s">
        <v>57</v>
      </c>
      <c r="R60" t="s">
        <v>35</v>
      </c>
      <c r="S60" t="str">
        <f>_xlfn.CONCAT(Tabla14[[#This Row],[ABR_01]],"X",Tabla14[[#This Row],[ABR_02]],Tabla14[[#This Row],[ZONA2]],,"X",Tabla14[[#This Row],[PARADA2]])</f>
        <v>ARXSC1X05</v>
      </c>
      <c r="T60" t="str">
        <f>Tabla14[[#This Row],[ABR_01]]&amp;Tabla14[[#This Row],[ABR_02]]&amp;Tabla14[[#This Row],[PARADA2]]</f>
        <v>ARSC05</v>
      </c>
      <c r="U60" s="37" t="s">
        <v>36</v>
      </c>
      <c r="V60" s="37" t="s">
        <v>36</v>
      </c>
      <c r="W60">
        <f>LEN(Tabla14[[#This Row],[Transport Zone 2]])</f>
        <v>9</v>
      </c>
    </row>
    <row r="61" spans="2:23" ht="16" hidden="1" thickTop="1" x14ac:dyDescent="0.2">
      <c r="B61" s="19" t="s">
        <v>40</v>
      </c>
      <c r="C61" s="8" t="s">
        <v>179</v>
      </c>
      <c r="D61" s="17" t="s">
        <v>179</v>
      </c>
      <c r="E61" s="9" t="s">
        <v>169</v>
      </c>
      <c r="F61" s="10" t="s">
        <v>55</v>
      </c>
      <c r="G61" s="13">
        <v>270</v>
      </c>
      <c r="H61" s="10">
        <v>296</v>
      </c>
      <c r="I61" s="24" t="s">
        <v>27</v>
      </c>
      <c r="J61" s="24" t="s">
        <v>170</v>
      </c>
      <c r="K61" s="25" t="s">
        <v>29</v>
      </c>
      <c r="L61" s="25" t="s">
        <v>67</v>
      </c>
      <c r="M61" s="15" t="s">
        <v>31</v>
      </c>
      <c r="N61" s="16" t="str">
        <f>Tabla14[[#This Row],[ABR_02]]</f>
        <v>SC</v>
      </c>
      <c r="O61" t="s">
        <v>32</v>
      </c>
      <c r="P61" t="s">
        <v>33</v>
      </c>
      <c r="Q61" t="s">
        <v>57</v>
      </c>
      <c r="R61" t="s">
        <v>35</v>
      </c>
      <c r="S61" t="str">
        <f>_xlfn.CONCAT(Tabla14[[#This Row],[ABR_01]],"X",Tabla14[[#This Row],[ABR_02]],Tabla14[[#This Row],[ZONA2]],,"X",Tabla14[[#This Row],[PARADA2]])</f>
        <v>ARXSC1X06</v>
      </c>
      <c r="T61" t="str">
        <f>Tabla14[[#This Row],[ABR_01]]&amp;Tabla14[[#This Row],[ABR_02]]&amp;Tabla14[[#This Row],[PARADA2]]</f>
        <v>ARSC06</v>
      </c>
      <c r="U61" s="37" t="s">
        <v>36</v>
      </c>
      <c r="V61" s="37" t="s">
        <v>36</v>
      </c>
      <c r="W61">
        <f>LEN(Tabla14[[#This Row],[Transport Zone 2]])</f>
        <v>9</v>
      </c>
    </row>
    <row r="62" spans="2:23" ht="16" hidden="1" thickTop="1" x14ac:dyDescent="0.2">
      <c r="B62" s="19" t="s">
        <v>40</v>
      </c>
      <c r="C62" s="8" t="s">
        <v>180</v>
      </c>
      <c r="D62" s="17" t="s">
        <v>181</v>
      </c>
      <c r="E62" s="9" t="s">
        <v>169</v>
      </c>
      <c r="F62" s="10" t="s">
        <v>55</v>
      </c>
      <c r="G62" s="13">
        <v>270</v>
      </c>
      <c r="H62" s="10">
        <v>956</v>
      </c>
      <c r="I62" s="24" t="s">
        <v>27</v>
      </c>
      <c r="J62" s="24" t="s">
        <v>170</v>
      </c>
      <c r="K62" s="25" t="s">
        <v>29</v>
      </c>
      <c r="L62" s="25" t="s">
        <v>70</v>
      </c>
      <c r="M62" s="15" t="s">
        <v>31</v>
      </c>
      <c r="N62" s="16" t="str">
        <f>Tabla14[[#This Row],[ABR_02]]</f>
        <v>SC</v>
      </c>
      <c r="O62" t="s">
        <v>32</v>
      </c>
      <c r="P62" t="s">
        <v>33</v>
      </c>
      <c r="Q62" t="s">
        <v>57</v>
      </c>
      <c r="R62" t="s">
        <v>35</v>
      </c>
      <c r="S62" t="str">
        <f>_xlfn.CONCAT(Tabla14[[#This Row],[ABR_01]],"X",Tabla14[[#This Row],[ABR_02]],Tabla14[[#This Row],[ZONA2]],,"X",Tabla14[[#This Row],[PARADA2]])</f>
        <v>ARXSC1X07</v>
      </c>
      <c r="T62" t="str">
        <f>Tabla14[[#This Row],[ABR_01]]&amp;Tabla14[[#This Row],[ABR_02]]&amp;Tabla14[[#This Row],[PARADA2]]</f>
        <v>ARSC07</v>
      </c>
      <c r="U62" s="37" t="s">
        <v>36</v>
      </c>
      <c r="V62" s="37" t="s">
        <v>36</v>
      </c>
      <c r="W62">
        <f>LEN(Tabla14[[#This Row],[Transport Zone 2]])</f>
        <v>9</v>
      </c>
    </row>
    <row r="63" spans="2:23" ht="16" hidden="1" thickTop="1" x14ac:dyDescent="0.2">
      <c r="B63" s="19" t="s">
        <v>40</v>
      </c>
      <c r="C63" s="8" t="s">
        <v>182</v>
      </c>
      <c r="D63" s="12" t="s">
        <v>183</v>
      </c>
      <c r="E63" s="9" t="s">
        <v>169</v>
      </c>
      <c r="F63" s="10" t="s">
        <v>55</v>
      </c>
      <c r="G63" s="13">
        <v>270</v>
      </c>
      <c r="H63" s="10">
        <v>957</v>
      </c>
      <c r="I63" s="24" t="s">
        <v>27</v>
      </c>
      <c r="J63" s="24" t="s">
        <v>170</v>
      </c>
      <c r="K63" s="25" t="s">
        <v>29</v>
      </c>
      <c r="L63" s="25" t="s">
        <v>73</v>
      </c>
      <c r="M63" s="15" t="s">
        <v>31</v>
      </c>
      <c r="N63" s="16" t="str">
        <f>Tabla14[[#This Row],[ABR_02]]</f>
        <v>SC</v>
      </c>
      <c r="O63" t="s">
        <v>32</v>
      </c>
      <c r="P63" t="s">
        <v>33</v>
      </c>
      <c r="Q63" t="s">
        <v>57</v>
      </c>
      <c r="R63" t="s">
        <v>35</v>
      </c>
      <c r="S63" t="str">
        <f>_xlfn.CONCAT(Tabla14[[#This Row],[ABR_01]],"X",Tabla14[[#This Row],[ABR_02]],Tabla14[[#This Row],[ZONA2]],,"X",Tabla14[[#This Row],[PARADA2]])</f>
        <v>ARXSC1X08</v>
      </c>
      <c r="T63" t="str">
        <f>Tabla14[[#This Row],[ABR_01]]&amp;Tabla14[[#This Row],[ABR_02]]&amp;Tabla14[[#This Row],[PARADA2]]</f>
        <v>ARSC08</v>
      </c>
      <c r="U63" s="37" t="s">
        <v>36</v>
      </c>
      <c r="V63" s="37" t="s">
        <v>36</v>
      </c>
      <c r="W63">
        <f>LEN(Tabla14[[#This Row],[Transport Zone 2]])</f>
        <v>9</v>
      </c>
    </row>
    <row r="64" spans="2:23" ht="16" hidden="1" thickTop="1" x14ac:dyDescent="0.2">
      <c r="B64" s="19" t="s">
        <v>40</v>
      </c>
      <c r="C64" s="8" t="s">
        <v>184</v>
      </c>
      <c r="D64" s="17" t="s">
        <v>184</v>
      </c>
      <c r="E64" s="9" t="s">
        <v>169</v>
      </c>
      <c r="F64" s="10" t="s">
        <v>55</v>
      </c>
      <c r="G64" s="13">
        <v>270</v>
      </c>
      <c r="H64" s="10">
        <v>978</v>
      </c>
      <c r="I64" s="24" t="s">
        <v>27</v>
      </c>
      <c r="J64" s="24" t="s">
        <v>170</v>
      </c>
      <c r="K64" s="25" t="s">
        <v>29</v>
      </c>
      <c r="L64" s="25" t="s">
        <v>125</v>
      </c>
      <c r="M64" s="15" t="s">
        <v>31</v>
      </c>
      <c r="N64" s="16" t="str">
        <f>Tabla14[[#This Row],[ABR_02]]</f>
        <v>SC</v>
      </c>
      <c r="O64" t="s">
        <v>32</v>
      </c>
      <c r="P64" t="s">
        <v>33</v>
      </c>
      <c r="Q64" t="s">
        <v>57</v>
      </c>
      <c r="R64" t="s">
        <v>35</v>
      </c>
      <c r="S64" t="str">
        <f>_xlfn.CONCAT(Tabla14[[#This Row],[ABR_01]],"X",Tabla14[[#This Row],[ABR_02]],Tabla14[[#This Row],[ZONA2]],,"X",Tabla14[[#This Row],[PARADA2]])</f>
        <v>ARXSC1X09</v>
      </c>
      <c r="T64" t="str">
        <f>Tabla14[[#This Row],[ABR_01]]&amp;Tabla14[[#This Row],[ABR_02]]&amp;Tabla14[[#This Row],[PARADA2]]</f>
        <v>ARSC09</v>
      </c>
      <c r="U64" s="37" t="s">
        <v>36</v>
      </c>
      <c r="V64" s="37" t="s">
        <v>36</v>
      </c>
      <c r="W64">
        <f>LEN(Tabla14[[#This Row],[Transport Zone 2]])</f>
        <v>9</v>
      </c>
    </row>
    <row r="65" spans="2:23" ht="16" hidden="1" thickTop="1" x14ac:dyDescent="0.2">
      <c r="B65" s="19" t="s">
        <v>40</v>
      </c>
      <c r="C65" s="8" t="s">
        <v>185</v>
      </c>
      <c r="D65" s="12" t="s">
        <v>186</v>
      </c>
      <c r="E65" s="9" t="s">
        <v>169</v>
      </c>
      <c r="F65" s="10" t="s">
        <v>55</v>
      </c>
      <c r="G65" s="13">
        <v>270</v>
      </c>
      <c r="H65" s="10">
        <v>972</v>
      </c>
      <c r="I65" s="24" t="s">
        <v>27</v>
      </c>
      <c r="J65" s="24" t="s">
        <v>170</v>
      </c>
      <c r="K65" s="25" t="s">
        <v>29</v>
      </c>
      <c r="L65" s="25" t="s">
        <v>128</v>
      </c>
      <c r="M65" s="15" t="s">
        <v>31</v>
      </c>
      <c r="N65" s="16" t="str">
        <f>Tabla14[[#This Row],[ABR_02]]</f>
        <v>SC</v>
      </c>
      <c r="O65" t="s">
        <v>32</v>
      </c>
      <c r="P65" t="s">
        <v>33</v>
      </c>
      <c r="Q65" t="s">
        <v>57</v>
      </c>
      <c r="R65" t="s">
        <v>35</v>
      </c>
      <c r="S65" t="str">
        <f>_xlfn.CONCAT(Tabla14[[#This Row],[ABR_01]],"X",Tabla14[[#This Row],[ABR_02]],Tabla14[[#This Row],[ZONA2]],,"X",Tabla14[[#This Row],[PARADA2]])</f>
        <v>ARXSC1X10</v>
      </c>
      <c r="T65" t="str">
        <f>Tabla14[[#This Row],[ABR_01]]&amp;Tabla14[[#This Row],[ABR_02]]&amp;Tabla14[[#This Row],[PARADA2]]</f>
        <v>ARSC10</v>
      </c>
      <c r="U65" s="37" t="s">
        <v>36</v>
      </c>
      <c r="V65" s="37" t="s">
        <v>36</v>
      </c>
      <c r="W65">
        <f>LEN(Tabla14[[#This Row],[Transport Zone 2]])</f>
        <v>9</v>
      </c>
    </row>
    <row r="66" spans="2:23" ht="16" hidden="1" thickTop="1" x14ac:dyDescent="0.2">
      <c r="B66" s="19" t="s">
        <v>40</v>
      </c>
      <c r="C66" s="8" t="s">
        <v>187</v>
      </c>
      <c r="D66" s="12" t="s">
        <v>188</v>
      </c>
      <c r="E66" s="9" t="s">
        <v>169</v>
      </c>
      <c r="F66" s="10" t="s">
        <v>55</v>
      </c>
      <c r="G66" s="13">
        <v>270</v>
      </c>
      <c r="H66" s="10">
        <v>968</v>
      </c>
      <c r="I66" s="24" t="s">
        <v>27</v>
      </c>
      <c r="J66" s="24" t="s">
        <v>170</v>
      </c>
      <c r="K66" s="25" t="s">
        <v>29</v>
      </c>
      <c r="L66" s="25" t="s">
        <v>130</v>
      </c>
      <c r="M66" s="15" t="s">
        <v>31</v>
      </c>
      <c r="N66" s="16" t="str">
        <f>Tabla14[[#This Row],[ABR_02]]</f>
        <v>SC</v>
      </c>
      <c r="O66" t="s">
        <v>32</v>
      </c>
      <c r="P66" t="s">
        <v>33</v>
      </c>
      <c r="Q66" t="s">
        <v>57</v>
      </c>
      <c r="R66" t="s">
        <v>35</v>
      </c>
      <c r="S66" t="str">
        <f>_xlfn.CONCAT(Tabla14[[#This Row],[ABR_01]],"X",Tabla14[[#This Row],[ABR_02]],Tabla14[[#This Row],[ZONA2]],,"X",Tabla14[[#This Row],[PARADA2]])</f>
        <v>ARXSC1X11</v>
      </c>
      <c r="T66" t="str">
        <f>Tabla14[[#This Row],[ABR_01]]&amp;Tabla14[[#This Row],[ABR_02]]&amp;Tabla14[[#This Row],[PARADA2]]</f>
        <v>ARSC11</v>
      </c>
      <c r="U66" s="37" t="s">
        <v>36</v>
      </c>
      <c r="V66" s="37" t="s">
        <v>36</v>
      </c>
      <c r="W66">
        <f>LEN(Tabla14[[#This Row],[Transport Zone 2]])</f>
        <v>9</v>
      </c>
    </row>
    <row r="67" spans="2:23" ht="16" hidden="1" thickTop="1" x14ac:dyDescent="0.2">
      <c r="B67" s="19" t="s">
        <v>40</v>
      </c>
      <c r="C67" s="8" t="s">
        <v>189</v>
      </c>
      <c r="D67" s="12" t="s">
        <v>190</v>
      </c>
      <c r="E67" s="9" t="s">
        <v>169</v>
      </c>
      <c r="F67" s="10" t="s">
        <v>55</v>
      </c>
      <c r="G67" s="13">
        <v>270</v>
      </c>
      <c r="H67" s="10">
        <v>976</v>
      </c>
      <c r="I67" s="24" t="s">
        <v>27</v>
      </c>
      <c r="J67" s="24" t="s">
        <v>170</v>
      </c>
      <c r="K67" s="25" t="s">
        <v>29</v>
      </c>
      <c r="L67" s="25" t="s">
        <v>132</v>
      </c>
      <c r="M67" s="15" t="s">
        <v>31</v>
      </c>
      <c r="N67" s="16" t="str">
        <f>Tabla14[[#This Row],[ABR_02]]</f>
        <v>SC</v>
      </c>
      <c r="O67" t="s">
        <v>32</v>
      </c>
      <c r="P67" t="s">
        <v>33</v>
      </c>
      <c r="Q67" t="s">
        <v>57</v>
      </c>
      <c r="R67" t="s">
        <v>35</v>
      </c>
      <c r="S67" t="str">
        <f>_xlfn.CONCAT(Tabla14[[#This Row],[ABR_01]],"X",Tabla14[[#This Row],[ABR_02]],Tabla14[[#This Row],[ZONA2]],,"X",Tabla14[[#This Row],[PARADA2]])</f>
        <v>ARXSC1X12</v>
      </c>
      <c r="T67" t="str">
        <f>Tabla14[[#This Row],[ABR_01]]&amp;Tabla14[[#This Row],[ABR_02]]&amp;Tabla14[[#This Row],[PARADA2]]</f>
        <v>ARSC12</v>
      </c>
      <c r="U67" s="37" t="s">
        <v>36</v>
      </c>
      <c r="V67" s="37" t="s">
        <v>36</v>
      </c>
      <c r="W67">
        <f>LEN(Tabla14[[#This Row],[Transport Zone 2]])</f>
        <v>9</v>
      </c>
    </row>
    <row r="68" spans="2:23" ht="16" hidden="1" thickTop="1" x14ac:dyDescent="0.2">
      <c r="B68" s="19" t="s">
        <v>40</v>
      </c>
      <c r="C68" s="8" t="s">
        <v>191</v>
      </c>
      <c r="D68" s="17" t="s">
        <v>192</v>
      </c>
      <c r="E68" s="9" t="s">
        <v>169</v>
      </c>
      <c r="F68" s="10" t="s">
        <v>55</v>
      </c>
      <c r="G68" s="13">
        <v>270</v>
      </c>
      <c r="H68" s="10">
        <v>985</v>
      </c>
      <c r="I68" s="24" t="s">
        <v>27</v>
      </c>
      <c r="J68" s="24" t="s">
        <v>170</v>
      </c>
      <c r="K68" s="25" t="s">
        <v>29</v>
      </c>
      <c r="L68" s="25" t="s">
        <v>134</v>
      </c>
      <c r="M68" s="15" t="s">
        <v>31</v>
      </c>
      <c r="N68" s="16" t="str">
        <f>Tabla14[[#This Row],[ABR_02]]</f>
        <v>SC</v>
      </c>
      <c r="O68" t="s">
        <v>32</v>
      </c>
      <c r="P68" t="s">
        <v>33</v>
      </c>
      <c r="Q68" t="s">
        <v>57</v>
      </c>
      <c r="R68" t="s">
        <v>35</v>
      </c>
      <c r="S68" t="str">
        <f>_xlfn.CONCAT(Tabla14[[#This Row],[ABR_01]],"X",Tabla14[[#This Row],[ABR_02]],Tabla14[[#This Row],[ZONA2]],,"X",Tabla14[[#This Row],[PARADA2]])</f>
        <v>ARXSC1X13</v>
      </c>
      <c r="T68" t="str">
        <f>Tabla14[[#This Row],[ABR_01]]&amp;Tabla14[[#This Row],[ABR_02]]&amp;Tabla14[[#This Row],[PARADA2]]</f>
        <v>ARSC13</v>
      </c>
      <c r="U68" s="37" t="s">
        <v>36</v>
      </c>
      <c r="V68" s="37" t="s">
        <v>36</v>
      </c>
      <c r="W68">
        <f>LEN(Tabla14[[#This Row],[Transport Zone 2]])</f>
        <v>9</v>
      </c>
    </row>
    <row r="69" spans="2:23" ht="16" hidden="1" thickTop="1" x14ac:dyDescent="0.2">
      <c r="B69" s="19" t="s">
        <v>40</v>
      </c>
      <c r="C69" s="8" t="s">
        <v>193</v>
      </c>
      <c r="D69" s="12" t="s">
        <v>194</v>
      </c>
      <c r="E69" s="9" t="s">
        <v>195</v>
      </c>
      <c r="F69" s="10" t="s">
        <v>196</v>
      </c>
      <c r="G69" s="13">
        <v>265</v>
      </c>
      <c r="H69" s="10">
        <v>565</v>
      </c>
      <c r="I69" s="24" t="s">
        <v>27</v>
      </c>
      <c r="J69" s="24" t="s">
        <v>197</v>
      </c>
      <c r="K69" s="25" t="s">
        <v>29</v>
      </c>
      <c r="L69" s="25" t="s">
        <v>30</v>
      </c>
      <c r="M69" s="15" t="s">
        <v>31</v>
      </c>
      <c r="N69" s="16" t="str">
        <f>Tabla14[[#This Row],[ABR_02]]</f>
        <v>SL</v>
      </c>
      <c r="O69" t="s">
        <v>32</v>
      </c>
      <c r="P69" t="s">
        <v>33</v>
      </c>
      <c r="Q69" t="s">
        <v>57</v>
      </c>
      <c r="R69" t="s">
        <v>35</v>
      </c>
      <c r="S69" t="str">
        <f>_xlfn.CONCAT(Tabla14[[#This Row],[ABR_01]],"X",Tabla14[[#This Row],[ABR_02]],Tabla14[[#This Row],[ZONA2]],,"X",Tabla14[[#This Row],[PARADA2]])</f>
        <v>ARXSL1X01</v>
      </c>
      <c r="T69" t="str">
        <f>Tabla14[[#This Row],[ABR_01]]&amp;Tabla14[[#This Row],[ABR_02]]&amp;Tabla14[[#This Row],[PARADA2]]</f>
        <v>ARSL01</v>
      </c>
      <c r="U69" s="37" t="s">
        <v>36</v>
      </c>
      <c r="V69" s="37" t="s">
        <v>36</v>
      </c>
      <c r="W69">
        <f>LEN(Tabla14[[#This Row],[Transport Zone 2]])</f>
        <v>9</v>
      </c>
    </row>
    <row r="70" spans="2:23" ht="16" hidden="1" thickTop="1" x14ac:dyDescent="0.2">
      <c r="B70" s="19" t="s">
        <v>40</v>
      </c>
      <c r="C70" s="8" t="s">
        <v>198</v>
      </c>
      <c r="D70" s="12" t="s">
        <v>199</v>
      </c>
      <c r="E70" s="9" t="s">
        <v>195</v>
      </c>
      <c r="F70" s="10" t="s">
        <v>196</v>
      </c>
      <c r="G70" s="13">
        <v>265</v>
      </c>
      <c r="H70" s="10">
        <v>570</v>
      </c>
      <c r="I70" s="24" t="s">
        <v>27</v>
      </c>
      <c r="J70" s="24" t="s">
        <v>197</v>
      </c>
      <c r="K70" s="25" t="s">
        <v>29</v>
      </c>
      <c r="L70" s="25" t="s">
        <v>46</v>
      </c>
      <c r="M70" s="15" t="s">
        <v>31</v>
      </c>
      <c r="N70" s="16" t="str">
        <f>Tabla14[[#This Row],[ABR_02]]</f>
        <v>SL</v>
      </c>
      <c r="O70" t="s">
        <v>32</v>
      </c>
      <c r="P70" t="s">
        <v>33</v>
      </c>
      <c r="Q70" t="s">
        <v>57</v>
      </c>
      <c r="R70" t="s">
        <v>35</v>
      </c>
      <c r="S70" t="str">
        <f>_xlfn.CONCAT(Tabla14[[#This Row],[ABR_01]],"X",Tabla14[[#This Row],[ABR_02]],Tabla14[[#This Row],[ZONA2]],,"X",Tabla14[[#This Row],[PARADA2]])</f>
        <v>ARXSL1X02</v>
      </c>
      <c r="T70" t="str">
        <f>Tabla14[[#This Row],[ABR_01]]&amp;Tabla14[[#This Row],[ABR_02]]&amp;Tabla14[[#This Row],[PARADA2]]</f>
        <v>ARSL02</v>
      </c>
      <c r="U70" s="37" t="s">
        <v>36</v>
      </c>
      <c r="V70" s="37" t="s">
        <v>36</v>
      </c>
      <c r="W70">
        <f>LEN(Tabla14[[#This Row],[Transport Zone 2]])</f>
        <v>9</v>
      </c>
    </row>
    <row r="71" spans="2:23" ht="16" hidden="1" thickTop="1" x14ac:dyDescent="0.2">
      <c r="B71" s="19" t="s">
        <v>40</v>
      </c>
      <c r="C71" s="8" t="s">
        <v>200</v>
      </c>
      <c r="D71" s="12" t="s">
        <v>201</v>
      </c>
      <c r="E71" s="9" t="s">
        <v>202</v>
      </c>
      <c r="F71" s="10" t="s">
        <v>196</v>
      </c>
      <c r="G71" s="13">
        <v>264</v>
      </c>
      <c r="H71" s="10">
        <v>500</v>
      </c>
      <c r="I71" s="24" t="s">
        <v>27</v>
      </c>
      <c r="J71" s="24" t="s">
        <v>203</v>
      </c>
      <c r="K71" s="25" t="s">
        <v>29</v>
      </c>
      <c r="L71" s="25" t="s">
        <v>30</v>
      </c>
      <c r="M71" s="15" t="s">
        <v>31</v>
      </c>
      <c r="N71" s="16" t="str">
        <f>Tabla14[[#This Row],[ABR_02]]</f>
        <v>SJ</v>
      </c>
      <c r="O71" t="s">
        <v>32</v>
      </c>
      <c r="P71" t="s">
        <v>33</v>
      </c>
      <c r="Q71" t="s">
        <v>57</v>
      </c>
      <c r="R71" t="s">
        <v>35</v>
      </c>
      <c r="S71" t="str">
        <f>_xlfn.CONCAT(Tabla14[[#This Row],[ABR_01]],"X",Tabla14[[#This Row],[ABR_02]],Tabla14[[#This Row],[ZONA2]],,"X",Tabla14[[#This Row],[PARADA2]])</f>
        <v>ARXSJ1X01</v>
      </c>
      <c r="T71" t="str">
        <f>Tabla14[[#This Row],[ABR_01]]&amp;Tabla14[[#This Row],[ABR_02]]&amp;Tabla14[[#This Row],[PARADA2]]</f>
        <v>ARSJ01</v>
      </c>
      <c r="U71" s="37" t="s">
        <v>36</v>
      </c>
      <c r="V71" s="37" t="s">
        <v>36</v>
      </c>
      <c r="W71">
        <f>LEN(Tabla14[[#This Row],[Transport Zone 2]])</f>
        <v>9</v>
      </c>
    </row>
    <row r="72" spans="2:23" ht="16" hidden="1" thickTop="1" x14ac:dyDescent="0.2">
      <c r="B72" s="19" t="s">
        <v>40</v>
      </c>
      <c r="C72" s="8" t="s">
        <v>204</v>
      </c>
      <c r="D72" s="12" t="s">
        <v>205</v>
      </c>
      <c r="E72" s="9" t="s">
        <v>202</v>
      </c>
      <c r="F72" s="10" t="s">
        <v>196</v>
      </c>
      <c r="G72" s="13">
        <v>264</v>
      </c>
      <c r="H72" s="10">
        <v>505</v>
      </c>
      <c r="I72" s="24" t="s">
        <v>27</v>
      </c>
      <c r="J72" s="24" t="s">
        <v>203</v>
      </c>
      <c r="K72" s="25" t="s">
        <v>29</v>
      </c>
      <c r="L72" s="25" t="s">
        <v>46</v>
      </c>
      <c r="M72" s="15" t="s">
        <v>31</v>
      </c>
      <c r="N72" s="16" t="str">
        <f>Tabla14[[#This Row],[ABR_02]]</f>
        <v>SJ</v>
      </c>
      <c r="O72" t="s">
        <v>32</v>
      </c>
      <c r="P72" t="s">
        <v>33</v>
      </c>
      <c r="Q72" t="s">
        <v>57</v>
      </c>
      <c r="R72" t="s">
        <v>35</v>
      </c>
      <c r="S72" t="str">
        <f>_xlfn.CONCAT(Tabla14[[#This Row],[ABR_01]],"X",Tabla14[[#This Row],[ABR_02]],Tabla14[[#This Row],[ZONA2]],,"X",Tabla14[[#This Row],[PARADA2]])</f>
        <v>ARXSJ1X02</v>
      </c>
      <c r="T72" t="str">
        <f>Tabla14[[#This Row],[ABR_01]]&amp;Tabla14[[#This Row],[ABR_02]]&amp;Tabla14[[#This Row],[PARADA2]]</f>
        <v>ARSJ02</v>
      </c>
      <c r="U72" s="37" t="s">
        <v>36</v>
      </c>
      <c r="V72" s="37" t="s">
        <v>36</v>
      </c>
      <c r="W72">
        <f>LEN(Tabla14[[#This Row],[Transport Zone 2]])</f>
        <v>9</v>
      </c>
    </row>
    <row r="73" spans="2:23" ht="16" hidden="1" thickTop="1" x14ac:dyDescent="0.2">
      <c r="B73" s="19" t="s">
        <v>40</v>
      </c>
      <c r="C73" s="8" t="s">
        <v>206</v>
      </c>
      <c r="D73" s="17" t="s">
        <v>206</v>
      </c>
      <c r="E73" s="9" t="s">
        <v>202</v>
      </c>
      <c r="F73" s="10" t="s">
        <v>196</v>
      </c>
      <c r="G73" s="13">
        <v>264</v>
      </c>
      <c r="H73" s="10">
        <v>510</v>
      </c>
      <c r="I73" s="24" t="s">
        <v>27</v>
      </c>
      <c r="J73" s="24" t="s">
        <v>203</v>
      </c>
      <c r="K73" s="25" t="s">
        <v>29</v>
      </c>
      <c r="L73" s="25" t="s">
        <v>48</v>
      </c>
      <c r="M73" s="15" t="s">
        <v>31</v>
      </c>
      <c r="N73" s="16" t="str">
        <f>Tabla14[[#This Row],[ABR_02]]</f>
        <v>SJ</v>
      </c>
      <c r="O73" t="s">
        <v>32</v>
      </c>
      <c r="P73" t="s">
        <v>33</v>
      </c>
      <c r="Q73" t="s">
        <v>57</v>
      </c>
      <c r="R73" t="s">
        <v>35</v>
      </c>
      <c r="S73" t="str">
        <f>_xlfn.CONCAT(Tabla14[[#This Row],[ABR_01]],"X",Tabla14[[#This Row],[ABR_02]],Tabla14[[#This Row],[ZONA2]],,"X",Tabla14[[#This Row],[PARADA2]])</f>
        <v>ARXSJ1X03</v>
      </c>
      <c r="T73" t="str">
        <f>Tabla14[[#This Row],[ABR_01]]&amp;Tabla14[[#This Row],[ABR_02]]&amp;Tabla14[[#This Row],[PARADA2]]</f>
        <v>ARSJ03</v>
      </c>
      <c r="U73" s="37" t="s">
        <v>36</v>
      </c>
      <c r="V73" s="37" t="s">
        <v>36</v>
      </c>
      <c r="W73">
        <f>LEN(Tabla14[[#This Row],[Transport Zone 2]])</f>
        <v>9</v>
      </c>
    </row>
    <row r="74" spans="2:23" ht="16" hidden="1" thickTop="1" x14ac:dyDescent="0.2">
      <c r="B74" s="19" t="s">
        <v>40</v>
      </c>
      <c r="C74" s="8" t="s">
        <v>207</v>
      </c>
      <c r="D74" s="12" t="s">
        <v>208</v>
      </c>
      <c r="E74" s="9" t="s">
        <v>209</v>
      </c>
      <c r="F74" s="10" t="s">
        <v>88</v>
      </c>
      <c r="G74" s="13">
        <v>352</v>
      </c>
      <c r="H74" s="10">
        <v>411</v>
      </c>
      <c r="I74" s="24" t="s">
        <v>27</v>
      </c>
      <c r="J74" s="24" t="s">
        <v>210</v>
      </c>
      <c r="K74" s="25" t="s">
        <v>29</v>
      </c>
      <c r="L74" s="25" t="s">
        <v>30</v>
      </c>
      <c r="M74" s="15" t="s">
        <v>31</v>
      </c>
      <c r="N74" s="16" t="str">
        <f>Tabla14[[#This Row],[ABR_02]]</f>
        <v>SA</v>
      </c>
      <c r="O74" t="s">
        <v>32</v>
      </c>
      <c r="P74" t="s">
        <v>33</v>
      </c>
      <c r="Q74" t="s">
        <v>57</v>
      </c>
      <c r="R74" t="s">
        <v>35</v>
      </c>
      <c r="S74" t="str">
        <f>_xlfn.CONCAT(Tabla14[[#This Row],[ABR_01]],"X",Tabla14[[#This Row],[ABR_02]],Tabla14[[#This Row],[ZONA2]],,"X",Tabla14[[#This Row],[PARADA2]])</f>
        <v>ARXSA1X01</v>
      </c>
      <c r="T74" t="str">
        <f>Tabla14[[#This Row],[ABR_01]]&amp;Tabla14[[#This Row],[ABR_02]]&amp;Tabla14[[#This Row],[PARADA2]]</f>
        <v>ARSA01</v>
      </c>
      <c r="U74" s="37" t="s">
        <v>36</v>
      </c>
      <c r="V74" s="37" t="s">
        <v>36</v>
      </c>
      <c r="W74">
        <f>LEN(Tabla14[[#This Row],[Transport Zone 2]])</f>
        <v>9</v>
      </c>
    </row>
    <row r="75" spans="2:23" ht="16" hidden="1" thickTop="1" x14ac:dyDescent="0.2">
      <c r="B75" s="19" t="s">
        <v>40</v>
      </c>
      <c r="C75" s="8" t="s">
        <v>211</v>
      </c>
      <c r="D75" s="17" t="s">
        <v>211</v>
      </c>
      <c r="E75" s="9" t="s">
        <v>209</v>
      </c>
      <c r="F75" s="10" t="s">
        <v>88</v>
      </c>
      <c r="G75" s="13">
        <v>352</v>
      </c>
      <c r="H75" s="10">
        <v>455</v>
      </c>
      <c r="I75" s="24" t="s">
        <v>27</v>
      </c>
      <c r="J75" s="24" t="s">
        <v>210</v>
      </c>
      <c r="K75" s="25" t="s">
        <v>29</v>
      </c>
      <c r="L75" s="25" t="s">
        <v>46</v>
      </c>
      <c r="M75" s="15" t="s">
        <v>31</v>
      </c>
      <c r="N75" s="16" t="str">
        <f>Tabla14[[#This Row],[ABR_02]]</f>
        <v>SA</v>
      </c>
      <c r="O75" t="s">
        <v>32</v>
      </c>
      <c r="P75" t="s">
        <v>33</v>
      </c>
      <c r="Q75" t="s">
        <v>57</v>
      </c>
      <c r="R75" t="s">
        <v>35</v>
      </c>
      <c r="S75" t="str">
        <f>_xlfn.CONCAT(Tabla14[[#This Row],[ABR_01]],"X",Tabla14[[#This Row],[ABR_02]],Tabla14[[#This Row],[ZONA2]],,"X",Tabla14[[#This Row],[PARADA2]])</f>
        <v>ARXSA1X02</v>
      </c>
      <c r="T75" t="str">
        <f>Tabla14[[#This Row],[ABR_01]]&amp;Tabla14[[#This Row],[ABR_02]]&amp;Tabla14[[#This Row],[PARADA2]]</f>
        <v>ARSA02</v>
      </c>
      <c r="U75" s="37" t="s">
        <v>36</v>
      </c>
      <c r="V75" s="37" t="s">
        <v>36</v>
      </c>
      <c r="W75">
        <f>LEN(Tabla14[[#This Row],[Transport Zone 2]])</f>
        <v>9</v>
      </c>
    </row>
    <row r="76" spans="2:23" ht="16" hidden="1" thickTop="1" x14ac:dyDescent="0.2">
      <c r="B76" s="19" t="s">
        <v>40</v>
      </c>
      <c r="C76" s="8" t="s">
        <v>212</v>
      </c>
      <c r="D76" s="12" t="s">
        <v>213</v>
      </c>
      <c r="E76" s="9" t="s">
        <v>209</v>
      </c>
      <c r="F76" s="10" t="s">
        <v>88</v>
      </c>
      <c r="G76" s="13">
        <v>352</v>
      </c>
      <c r="H76" s="10">
        <v>440</v>
      </c>
      <c r="I76" s="24" t="s">
        <v>27</v>
      </c>
      <c r="J76" s="24" t="s">
        <v>210</v>
      </c>
      <c r="K76" s="25" t="s">
        <v>29</v>
      </c>
      <c r="L76" s="25" t="s">
        <v>48</v>
      </c>
      <c r="M76" s="15" t="s">
        <v>31</v>
      </c>
      <c r="N76" s="16" t="str">
        <f>Tabla14[[#This Row],[ABR_02]]</f>
        <v>SA</v>
      </c>
      <c r="O76" t="s">
        <v>32</v>
      </c>
      <c r="P76" t="s">
        <v>33</v>
      </c>
      <c r="Q76" t="s">
        <v>57</v>
      </c>
      <c r="R76" t="s">
        <v>35</v>
      </c>
      <c r="S76" t="str">
        <f>_xlfn.CONCAT(Tabla14[[#This Row],[ABR_01]],"X",Tabla14[[#This Row],[ABR_02]],Tabla14[[#This Row],[ZONA2]],,"X",Tabla14[[#This Row],[PARADA2]])</f>
        <v>ARXSA1X03</v>
      </c>
      <c r="T76" t="str">
        <f>Tabla14[[#This Row],[ABR_01]]&amp;Tabla14[[#This Row],[ABR_02]]&amp;Tabla14[[#This Row],[PARADA2]]</f>
        <v>ARSA03</v>
      </c>
      <c r="U76" s="37" t="s">
        <v>36</v>
      </c>
      <c r="V76" s="37" t="s">
        <v>36</v>
      </c>
      <c r="W76">
        <f>LEN(Tabla14[[#This Row],[Transport Zone 2]])</f>
        <v>9</v>
      </c>
    </row>
    <row r="77" spans="2:23" ht="16" hidden="1" thickTop="1" x14ac:dyDescent="0.2">
      <c r="B77" s="19" t="s">
        <v>40</v>
      </c>
      <c r="C77" s="8" t="s">
        <v>214</v>
      </c>
      <c r="D77" s="17" t="s">
        <v>215</v>
      </c>
      <c r="E77" s="9" t="s">
        <v>216</v>
      </c>
      <c r="F77" s="10" t="s">
        <v>43</v>
      </c>
      <c r="G77" s="11">
        <v>294</v>
      </c>
      <c r="H77" s="10">
        <v>918</v>
      </c>
      <c r="I77" s="24" t="s">
        <v>27</v>
      </c>
      <c r="J77" s="24" t="s">
        <v>217</v>
      </c>
      <c r="K77" s="25" t="s">
        <v>29</v>
      </c>
      <c r="L77" s="25" t="s">
        <v>30</v>
      </c>
      <c r="M77" s="15" t="s">
        <v>31</v>
      </c>
      <c r="N77" s="16" t="str">
        <f>Tabla14[[#This Row],[ABR_02]]</f>
        <v>RN</v>
      </c>
      <c r="O77" t="s">
        <v>32</v>
      </c>
      <c r="P77" t="s">
        <v>33</v>
      </c>
      <c r="Q77" t="s">
        <v>32</v>
      </c>
      <c r="R77" t="s">
        <v>35</v>
      </c>
      <c r="S77" t="str">
        <f>_xlfn.CONCAT(Tabla14[[#This Row],[ABR_01]],"X",Tabla14[[#This Row],[ABR_02]],Tabla14[[#This Row],[ZONA2]],,"X",Tabla14[[#This Row],[PARADA2]])</f>
        <v>ARXRN1X01</v>
      </c>
      <c r="T77" t="str">
        <f>Tabla14[[#This Row],[ABR_01]]&amp;Tabla14[[#This Row],[ABR_02]]&amp;Tabla14[[#This Row],[PARADA2]]</f>
        <v>ARRN01</v>
      </c>
      <c r="U77" s="37" t="s">
        <v>36</v>
      </c>
      <c r="V77" s="37" t="s">
        <v>36</v>
      </c>
      <c r="W77">
        <f>LEN(Tabla14[[#This Row],[Transport Zone 2]])</f>
        <v>9</v>
      </c>
    </row>
    <row r="78" spans="2:23" ht="16" hidden="1" thickTop="1" x14ac:dyDescent="0.2">
      <c r="B78" s="19" t="s">
        <v>40</v>
      </c>
      <c r="C78" s="8" t="s">
        <v>218</v>
      </c>
      <c r="D78" s="12" t="s">
        <v>219</v>
      </c>
      <c r="E78" s="9" t="s">
        <v>216</v>
      </c>
      <c r="F78" s="10" t="s">
        <v>43</v>
      </c>
      <c r="G78" s="11">
        <v>294</v>
      </c>
      <c r="H78" s="10">
        <v>908</v>
      </c>
      <c r="I78" s="24" t="s">
        <v>27</v>
      </c>
      <c r="J78" s="24" t="s">
        <v>217</v>
      </c>
      <c r="K78" s="25" t="s">
        <v>29</v>
      </c>
      <c r="L78" s="25" t="s">
        <v>46</v>
      </c>
      <c r="M78" s="15" t="s">
        <v>31</v>
      </c>
      <c r="N78" s="16" t="str">
        <f>Tabla14[[#This Row],[ABR_02]]</f>
        <v>RN</v>
      </c>
      <c r="O78" t="s">
        <v>32</v>
      </c>
      <c r="P78" t="s">
        <v>33</v>
      </c>
      <c r="Q78" t="s">
        <v>32</v>
      </c>
      <c r="R78" t="s">
        <v>35</v>
      </c>
      <c r="S78" t="str">
        <f>_xlfn.CONCAT(Tabla14[[#This Row],[ABR_01]],"X",Tabla14[[#This Row],[ABR_02]],Tabla14[[#This Row],[ZONA2]],,"X",Tabla14[[#This Row],[PARADA2]])</f>
        <v>ARXRN1X02</v>
      </c>
      <c r="T78" t="str">
        <f>Tabla14[[#This Row],[ABR_01]]&amp;Tabla14[[#This Row],[ABR_02]]&amp;Tabla14[[#This Row],[PARADA2]]</f>
        <v>ARRN02</v>
      </c>
      <c r="U78" s="37" t="s">
        <v>36</v>
      </c>
      <c r="V78" s="37" t="s">
        <v>36</v>
      </c>
      <c r="W78">
        <f>LEN(Tabla14[[#This Row],[Transport Zone 2]])</f>
        <v>9</v>
      </c>
    </row>
    <row r="79" spans="2:23" ht="16" hidden="1" thickTop="1" x14ac:dyDescent="0.2">
      <c r="B79" s="19" t="s">
        <v>40</v>
      </c>
      <c r="C79" s="8" t="s">
        <v>220</v>
      </c>
      <c r="D79" s="12" t="s">
        <v>221</v>
      </c>
      <c r="E79" s="9" t="s">
        <v>216</v>
      </c>
      <c r="F79" s="10" t="s">
        <v>43</v>
      </c>
      <c r="G79" s="11">
        <v>294</v>
      </c>
      <c r="H79" s="10">
        <v>930</v>
      </c>
      <c r="I79" s="24" t="s">
        <v>27</v>
      </c>
      <c r="J79" s="24" t="s">
        <v>217</v>
      </c>
      <c r="K79" s="25" t="s">
        <v>29</v>
      </c>
      <c r="L79" s="25" t="s">
        <v>48</v>
      </c>
      <c r="M79" s="15" t="s">
        <v>31</v>
      </c>
      <c r="N79" s="16" t="str">
        <f>Tabla14[[#This Row],[ABR_02]]</f>
        <v>RN</v>
      </c>
      <c r="O79" t="s">
        <v>32</v>
      </c>
      <c r="P79" t="s">
        <v>33</v>
      </c>
      <c r="Q79" t="s">
        <v>32</v>
      </c>
      <c r="R79" t="s">
        <v>35</v>
      </c>
      <c r="S79" t="str">
        <f>_xlfn.CONCAT(Tabla14[[#This Row],[ABR_01]],"X",Tabla14[[#This Row],[ABR_02]],Tabla14[[#This Row],[ZONA2]],,"X",Tabla14[[#This Row],[PARADA2]])</f>
        <v>ARXRN1X03</v>
      </c>
      <c r="T79" t="str">
        <f>Tabla14[[#This Row],[ABR_01]]&amp;Tabla14[[#This Row],[ABR_02]]&amp;Tabla14[[#This Row],[PARADA2]]</f>
        <v>ARRN03</v>
      </c>
      <c r="U79" s="37" t="s">
        <v>36</v>
      </c>
      <c r="V79" s="37" t="s">
        <v>36</v>
      </c>
      <c r="W79">
        <f>LEN(Tabla14[[#This Row],[Transport Zone 2]])</f>
        <v>9</v>
      </c>
    </row>
    <row r="80" spans="2:23" ht="16" hidden="1" thickTop="1" x14ac:dyDescent="0.2">
      <c r="B80" s="19" t="s">
        <v>40</v>
      </c>
      <c r="C80" s="8" t="s">
        <v>222</v>
      </c>
      <c r="D80" s="12" t="s">
        <v>223</v>
      </c>
      <c r="E80" s="9" t="s">
        <v>216</v>
      </c>
      <c r="F80" s="10" t="s">
        <v>43</v>
      </c>
      <c r="G80" s="11">
        <v>294</v>
      </c>
      <c r="H80" s="10">
        <v>910</v>
      </c>
      <c r="I80" s="24" t="s">
        <v>27</v>
      </c>
      <c r="J80" s="24" t="s">
        <v>217</v>
      </c>
      <c r="K80" s="25" t="s">
        <v>29</v>
      </c>
      <c r="L80" s="25" t="s">
        <v>51</v>
      </c>
      <c r="M80" s="15" t="s">
        <v>31</v>
      </c>
      <c r="N80" s="16" t="str">
        <f>Tabla14[[#This Row],[ABR_02]]</f>
        <v>RN</v>
      </c>
      <c r="O80" t="s">
        <v>32</v>
      </c>
      <c r="P80" t="s">
        <v>33</v>
      </c>
      <c r="Q80" t="s">
        <v>32</v>
      </c>
      <c r="R80" t="s">
        <v>35</v>
      </c>
      <c r="S80" t="str">
        <f>_xlfn.CONCAT(Tabla14[[#This Row],[ABR_01]],"X",Tabla14[[#This Row],[ABR_02]],Tabla14[[#This Row],[ZONA2]],,"X",Tabla14[[#This Row],[PARADA2]])</f>
        <v>ARXRN1X04</v>
      </c>
      <c r="T80" t="str">
        <f>Tabla14[[#This Row],[ABR_01]]&amp;Tabla14[[#This Row],[ABR_02]]&amp;Tabla14[[#This Row],[PARADA2]]</f>
        <v>ARRN04</v>
      </c>
      <c r="U80" s="37" t="s">
        <v>36</v>
      </c>
      <c r="V80" s="37" t="s">
        <v>36</v>
      </c>
      <c r="W80">
        <f>LEN(Tabla14[[#This Row],[Transport Zone 2]])</f>
        <v>9</v>
      </c>
    </row>
    <row r="81" spans="2:23" ht="16" hidden="1" thickTop="1" x14ac:dyDescent="0.2">
      <c r="B81" s="19" t="s">
        <v>40</v>
      </c>
      <c r="C81" s="8" t="s">
        <v>224</v>
      </c>
      <c r="D81" s="17" t="s">
        <v>224</v>
      </c>
      <c r="E81" s="9" t="s">
        <v>216</v>
      </c>
      <c r="F81" s="10" t="s">
        <v>43</v>
      </c>
      <c r="G81" s="11">
        <v>294</v>
      </c>
      <c r="H81" s="10">
        <v>283</v>
      </c>
      <c r="I81" s="24" t="s">
        <v>27</v>
      </c>
      <c r="J81" s="24" t="s">
        <v>217</v>
      </c>
      <c r="K81" s="25" t="s">
        <v>29</v>
      </c>
      <c r="L81" s="25" t="s">
        <v>65</v>
      </c>
      <c r="M81" s="15" t="s">
        <v>31</v>
      </c>
      <c r="N81" s="16" t="str">
        <f>Tabla14[[#This Row],[ABR_02]]</f>
        <v>RN</v>
      </c>
      <c r="O81" t="s">
        <v>32</v>
      </c>
      <c r="P81" t="s">
        <v>33</v>
      </c>
      <c r="Q81" t="s">
        <v>32</v>
      </c>
      <c r="R81" t="s">
        <v>35</v>
      </c>
      <c r="S81" t="str">
        <f>_xlfn.CONCAT(Tabla14[[#This Row],[ABR_01]],"X",Tabla14[[#This Row],[ABR_02]],Tabla14[[#This Row],[ZONA2]],,"X",Tabla14[[#This Row],[PARADA2]])</f>
        <v>ARXRN1X05</v>
      </c>
      <c r="T81" t="str">
        <f>Tabla14[[#This Row],[ABR_01]]&amp;Tabla14[[#This Row],[ABR_02]]&amp;Tabla14[[#This Row],[PARADA2]]</f>
        <v>ARRN05</v>
      </c>
      <c r="U81" s="37" t="s">
        <v>36</v>
      </c>
      <c r="V81" s="37" t="s">
        <v>36</v>
      </c>
      <c r="W81">
        <f>LEN(Tabla14[[#This Row],[Transport Zone 2]])</f>
        <v>9</v>
      </c>
    </row>
    <row r="82" spans="2:23" ht="16" hidden="1" thickTop="1" x14ac:dyDescent="0.2">
      <c r="B82" s="19" t="s">
        <v>40</v>
      </c>
      <c r="C82" s="8" t="s">
        <v>225</v>
      </c>
      <c r="D82" s="12" t="s">
        <v>226</v>
      </c>
      <c r="E82" s="9" t="s">
        <v>216</v>
      </c>
      <c r="F82" s="10" t="s">
        <v>43</v>
      </c>
      <c r="G82" s="11">
        <v>294</v>
      </c>
      <c r="H82" s="10">
        <v>925</v>
      </c>
      <c r="I82" s="24" t="s">
        <v>27</v>
      </c>
      <c r="J82" s="24" t="s">
        <v>217</v>
      </c>
      <c r="K82" s="25" t="s">
        <v>29</v>
      </c>
      <c r="L82" s="25" t="s">
        <v>67</v>
      </c>
      <c r="M82" s="15" t="s">
        <v>31</v>
      </c>
      <c r="N82" s="16" t="str">
        <f>Tabla14[[#This Row],[ABR_02]]</f>
        <v>RN</v>
      </c>
      <c r="O82" t="s">
        <v>32</v>
      </c>
      <c r="P82" t="s">
        <v>33</v>
      </c>
      <c r="Q82" t="s">
        <v>32</v>
      </c>
      <c r="R82" t="s">
        <v>35</v>
      </c>
      <c r="S82" t="str">
        <f>_xlfn.CONCAT(Tabla14[[#This Row],[ABR_01]],"X",Tabla14[[#This Row],[ABR_02]],Tabla14[[#This Row],[ZONA2]],,"X",Tabla14[[#This Row],[PARADA2]])</f>
        <v>ARXRN1X06</v>
      </c>
      <c r="T82" t="str">
        <f>Tabla14[[#This Row],[ABR_01]]&amp;Tabla14[[#This Row],[ABR_02]]&amp;Tabla14[[#This Row],[PARADA2]]</f>
        <v>ARRN06</v>
      </c>
      <c r="U82" s="37" t="s">
        <v>36</v>
      </c>
      <c r="V82" s="37" t="s">
        <v>36</v>
      </c>
      <c r="W82">
        <f>LEN(Tabla14[[#This Row],[Transport Zone 2]])</f>
        <v>9</v>
      </c>
    </row>
    <row r="83" spans="2:23" ht="16" hidden="1" thickTop="1" x14ac:dyDescent="0.2">
      <c r="B83" s="19" t="s">
        <v>40</v>
      </c>
      <c r="C83" s="8" t="s">
        <v>227</v>
      </c>
      <c r="D83" s="12" t="s">
        <v>228</v>
      </c>
      <c r="E83" s="9" t="s">
        <v>216</v>
      </c>
      <c r="F83" s="10" t="s">
        <v>43</v>
      </c>
      <c r="G83" s="11">
        <v>294</v>
      </c>
      <c r="H83" s="10">
        <v>935</v>
      </c>
      <c r="I83" s="24" t="s">
        <v>27</v>
      </c>
      <c r="J83" s="24" t="s">
        <v>217</v>
      </c>
      <c r="K83" s="25" t="s">
        <v>29</v>
      </c>
      <c r="L83" s="25" t="s">
        <v>70</v>
      </c>
      <c r="M83" s="15" t="s">
        <v>31</v>
      </c>
      <c r="N83" s="16" t="str">
        <f>Tabla14[[#This Row],[ABR_02]]</f>
        <v>RN</v>
      </c>
      <c r="O83" t="s">
        <v>32</v>
      </c>
      <c r="P83" t="s">
        <v>33</v>
      </c>
      <c r="Q83" t="s">
        <v>32</v>
      </c>
      <c r="R83" t="s">
        <v>35</v>
      </c>
      <c r="S83" t="str">
        <f>_xlfn.CONCAT(Tabla14[[#This Row],[ABR_01]],"X",Tabla14[[#This Row],[ABR_02]],Tabla14[[#This Row],[ZONA2]],,"X",Tabla14[[#This Row],[PARADA2]])</f>
        <v>ARXRN1X07</v>
      </c>
      <c r="T83" t="str">
        <f>Tabla14[[#This Row],[ABR_01]]&amp;Tabla14[[#This Row],[ABR_02]]&amp;Tabla14[[#This Row],[PARADA2]]</f>
        <v>ARRN07</v>
      </c>
      <c r="U83" s="37" t="s">
        <v>36</v>
      </c>
      <c r="V83" s="37" t="s">
        <v>36</v>
      </c>
      <c r="W83">
        <f>LEN(Tabla14[[#This Row],[Transport Zone 2]])</f>
        <v>9</v>
      </c>
    </row>
    <row r="84" spans="2:23" ht="16" hidden="1" thickTop="1" x14ac:dyDescent="0.2">
      <c r="B84" s="19" t="s">
        <v>40</v>
      </c>
      <c r="C84" s="8" t="s">
        <v>229</v>
      </c>
      <c r="D84" s="17" t="s">
        <v>229</v>
      </c>
      <c r="E84" s="9" t="s">
        <v>216</v>
      </c>
      <c r="F84" s="10" t="s">
        <v>43</v>
      </c>
      <c r="G84" s="11">
        <v>294</v>
      </c>
      <c r="H84" s="10">
        <v>912</v>
      </c>
      <c r="I84" s="24" t="s">
        <v>27</v>
      </c>
      <c r="J84" s="24" t="s">
        <v>217</v>
      </c>
      <c r="K84" s="25" t="s">
        <v>29</v>
      </c>
      <c r="L84" s="25" t="s">
        <v>73</v>
      </c>
      <c r="M84" s="15" t="s">
        <v>31</v>
      </c>
      <c r="N84" s="16" t="str">
        <f>Tabla14[[#This Row],[ABR_02]]</f>
        <v>RN</v>
      </c>
      <c r="O84" t="s">
        <v>32</v>
      </c>
      <c r="P84" t="s">
        <v>33</v>
      </c>
      <c r="Q84" t="s">
        <v>32</v>
      </c>
      <c r="R84" t="s">
        <v>35</v>
      </c>
      <c r="S84" t="str">
        <f>_xlfn.CONCAT(Tabla14[[#This Row],[ABR_01]],"X",Tabla14[[#This Row],[ABR_02]],Tabla14[[#This Row],[ZONA2]],,"X",Tabla14[[#This Row],[PARADA2]])</f>
        <v>ARXRN1X08</v>
      </c>
      <c r="T84" t="str">
        <f>Tabla14[[#This Row],[ABR_01]]&amp;Tabla14[[#This Row],[ABR_02]]&amp;Tabla14[[#This Row],[PARADA2]]</f>
        <v>ARRN08</v>
      </c>
      <c r="U84" s="37" t="s">
        <v>36</v>
      </c>
      <c r="V84" s="37" t="s">
        <v>36</v>
      </c>
      <c r="W84">
        <f>LEN(Tabla14[[#This Row],[Transport Zone 2]])</f>
        <v>9</v>
      </c>
    </row>
    <row r="85" spans="2:23" ht="16" hidden="1" thickTop="1" x14ac:dyDescent="0.2">
      <c r="B85" s="19" t="s">
        <v>40</v>
      </c>
      <c r="C85" s="8" t="s">
        <v>230</v>
      </c>
      <c r="D85" s="12" t="s">
        <v>231</v>
      </c>
      <c r="E85" s="9" t="s">
        <v>232</v>
      </c>
      <c r="F85" s="10" t="s">
        <v>77</v>
      </c>
      <c r="G85" s="13">
        <v>349</v>
      </c>
      <c r="H85" s="10">
        <v>325</v>
      </c>
      <c r="I85" s="24" t="s">
        <v>27</v>
      </c>
      <c r="J85" s="24" t="s">
        <v>233</v>
      </c>
      <c r="K85" s="25" t="s">
        <v>29</v>
      </c>
      <c r="L85" s="25" t="s">
        <v>30</v>
      </c>
      <c r="M85" s="15" t="s">
        <v>31</v>
      </c>
      <c r="N85" s="16" t="str">
        <f>Tabla14[[#This Row],[ABR_02]]</f>
        <v>MI</v>
      </c>
      <c r="O85" t="s">
        <v>32</v>
      </c>
      <c r="P85" t="s">
        <v>33</v>
      </c>
      <c r="Q85" t="s">
        <v>57</v>
      </c>
      <c r="R85" t="s">
        <v>35</v>
      </c>
      <c r="S85" t="str">
        <f>_xlfn.CONCAT(Tabla14[[#This Row],[ABR_01]],"X",Tabla14[[#This Row],[ABR_02]],Tabla14[[#This Row],[ZONA2]],,"X",Tabla14[[#This Row],[PARADA2]])</f>
        <v>ARXMI1X01</v>
      </c>
      <c r="T85" t="str">
        <f>Tabla14[[#This Row],[ABR_01]]&amp;Tabla14[[#This Row],[ABR_02]]&amp;Tabla14[[#This Row],[PARADA2]]</f>
        <v>ARMI01</v>
      </c>
      <c r="U85" s="37" t="s">
        <v>36</v>
      </c>
      <c r="V85" s="37" t="s">
        <v>36</v>
      </c>
      <c r="W85">
        <f>LEN(Tabla14[[#This Row],[Transport Zone 2]])</f>
        <v>9</v>
      </c>
    </row>
    <row r="86" spans="2:23" ht="16" hidden="1" thickTop="1" x14ac:dyDescent="0.2">
      <c r="B86" s="19" t="s">
        <v>40</v>
      </c>
      <c r="C86" s="8" t="s">
        <v>234</v>
      </c>
      <c r="D86" s="17" t="s">
        <v>234</v>
      </c>
      <c r="E86" s="9" t="s">
        <v>232</v>
      </c>
      <c r="F86" s="10" t="s">
        <v>77</v>
      </c>
      <c r="G86" s="13">
        <v>349</v>
      </c>
      <c r="H86" s="10">
        <v>310</v>
      </c>
      <c r="I86" s="24" t="s">
        <v>27</v>
      </c>
      <c r="J86" s="24" t="s">
        <v>233</v>
      </c>
      <c r="K86" s="25" t="s">
        <v>29</v>
      </c>
      <c r="L86" s="25" t="s">
        <v>46</v>
      </c>
      <c r="M86" s="15" t="s">
        <v>31</v>
      </c>
      <c r="N86" s="16" t="str">
        <f>Tabla14[[#This Row],[ABR_02]]</f>
        <v>MI</v>
      </c>
      <c r="O86" t="s">
        <v>32</v>
      </c>
      <c r="P86" t="s">
        <v>33</v>
      </c>
      <c r="Q86" t="s">
        <v>57</v>
      </c>
      <c r="R86" t="s">
        <v>35</v>
      </c>
      <c r="S86" t="str">
        <f>_xlfn.CONCAT(Tabla14[[#This Row],[ABR_01]],"X",Tabla14[[#This Row],[ABR_02]],Tabla14[[#This Row],[ZONA2]],,"X",Tabla14[[#This Row],[PARADA2]])</f>
        <v>ARXMI1X02</v>
      </c>
      <c r="T86" t="str">
        <f>Tabla14[[#This Row],[ABR_01]]&amp;Tabla14[[#This Row],[ABR_02]]&amp;Tabla14[[#This Row],[PARADA2]]</f>
        <v>ARMI02</v>
      </c>
      <c r="U86" s="37" t="s">
        <v>36</v>
      </c>
      <c r="V86" s="37" t="s">
        <v>36</v>
      </c>
      <c r="W86">
        <f>LEN(Tabla14[[#This Row],[Transport Zone 2]])</f>
        <v>9</v>
      </c>
    </row>
    <row r="87" spans="2:23" ht="16" hidden="1" thickTop="1" x14ac:dyDescent="0.2">
      <c r="B87" s="19" t="s">
        <v>40</v>
      </c>
      <c r="C87" s="8" t="s">
        <v>235</v>
      </c>
      <c r="D87" s="17" t="s">
        <v>235</v>
      </c>
      <c r="E87" s="9" t="s">
        <v>232</v>
      </c>
      <c r="F87" s="10" t="s">
        <v>77</v>
      </c>
      <c r="G87" s="13">
        <v>349</v>
      </c>
      <c r="H87" s="10">
        <v>305</v>
      </c>
      <c r="I87" s="24" t="s">
        <v>27</v>
      </c>
      <c r="J87" s="24" t="s">
        <v>233</v>
      </c>
      <c r="K87" s="25" t="s">
        <v>29</v>
      </c>
      <c r="L87" s="25" t="s">
        <v>48</v>
      </c>
      <c r="M87" s="15" t="s">
        <v>31</v>
      </c>
      <c r="N87" s="16" t="str">
        <f>Tabla14[[#This Row],[ABR_02]]</f>
        <v>MI</v>
      </c>
      <c r="O87" t="s">
        <v>32</v>
      </c>
      <c r="P87" t="s">
        <v>33</v>
      </c>
      <c r="Q87" t="s">
        <v>57</v>
      </c>
      <c r="R87" t="s">
        <v>35</v>
      </c>
      <c r="S87" t="str">
        <f>_xlfn.CONCAT(Tabla14[[#This Row],[ABR_01]],"X",Tabla14[[#This Row],[ABR_02]],Tabla14[[#This Row],[ZONA2]],,"X",Tabla14[[#This Row],[PARADA2]])</f>
        <v>ARXMI1X03</v>
      </c>
      <c r="T87" t="str">
        <f>Tabla14[[#This Row],[ABR_01]]&amp;Tabla14[[#This Row],[ABR_02]]&amp;Tabla14[[#This Row],[PARADA2]]</f>
        <v>ARMI03</v>
      </c>
      <c r="U87" s="37" t="s">
        <v>36</v>
      </c>
      <c r="V87" s="37" t="s">
        <v>36</v>
      </c>
      <c r="W87">
        <f>LEN(Tabla14[[#This Row],[Transport Zone 2]])</f>
        <v>9</v>
      </c>
    </row>
    <row r="88" spans="2:23" ht="16" hidden="1" thickTop="1" x14ac:dyDescent="0.2">
      <c r="B88" s="19" t="s">
        <v>40</v>
      </c>
      <c r="C88" s="8" t="s">
        <v>236</v>
      </c>
      <c r="D88" s="17" t="s">
        <v>236</v>
      </c>
      <c r="E88" s="9" t="s">
        <v>232</v>
      </c>
      <c r="F88" s="10" t="s">
        <v>77</v>
      </c>
      <c r="G88" s="13">
        <v>349</v>
      </c>
      <c r="H88" s="10">
        <v>320</v>
      </c>
      <c r="I88" s="24" t="s">
        <v>27</v>
      </c>
      <c r="J88" s="24" t="s">
        <v>233</v>
      </c>
      <c r="K88" s="25" t="s">
        <v>29</v>
      </c>
      <c r="L88" s="25" t="s">
        <v>51</v>
      </c>
      <c r="M88" s="15" t="s">
        <v>31</v>
      </c>
      <c r="N88" s="16" t="str">
        <f>Tabla14[[#This Row],[ABR_02]]</f>
        <v>MI</v>
      </c>
      <c r="O88" t="s">
        <v>32</v>
      </c>
      <c r="P88" t="s">
        <v>33</v>
      </c>
      <c r="Q88" t="s">
        <v>57</v>
      </c>
      <c r="R88" t="s">
        <v>35</v>
      </c>
      <c r="S88" t="str">
        <f>_xlfn.CONCAT(Tabla14[[#This Row],[ABR_01]],"X",Tabla14[[#This Row],[ABR_02]],Tabla14[[#This Row],[ZONA2]],,"X",Tabla14[[#This Row],[PARADA2]])</f>
        <v>ARXMI1X04</v>
      </c>
      <c r="T88" t="str">
        <f>Tabla14[[#This Row],[ABR_01]]&amp;Tabla14[[#This Row],[ABR_02]]&amp;Tabla14[[#This Row],[PARADA2]]</f>
        <v>ARMI04</v>
      </c>
      <c r="U88" s="37" t="s">
        <v>36</v>
      </c>
      <c r="V88" s="37" t="s">
        <v>36</v>
      </c>
      <c r="W88">
        <f>LEN(Tabla14[[#This Row],[Transport Zone 2]])</f>
        <v>9</v>
      </c>
    </row>
    <row r="89" spans="2:23" ht="16" hidden="1" thickTop="1" x14ac:dyDescent="0.2">
      <c r="B89" s="19" t="s">
        <v>40</v>
      </c>
      <c r="C89" s="8" t="s">
        <v>237</v>
      </c>
      <c r="D89" s="12" t="s">
        <v>238</v>
      </c>
      <c r="E89" s="9" t="s">
        <v>232</v>
      </c>
      <c r="F89" s="10" t="s">
        <v>77</v>
      </c>
      <c r="G89" s="13">
        <v>349</v>
      </c>
      <c r="H89" s="10">
        <v>300</v>
      </c>
      <c r="I89" s="24" t="s">
        <v>27</v>
      </c>
      <c r="J89" s="24" t="s">
        <v>233</v>
      </c>
      <c r="K89" s="25" t="s">
        <v>29</v>
      </c>
      <c r="L89" s="25" t="s">
        <v>65</v>
      </c>
      <c r="M89" s="15" t="s">
        <v>31</v>
      </c>
      <c r="N89" s="16" t="str">
        <f>Tabla14[[#This Row],[ABR_02]]</f>
        <v>MI</v>
      </c>
      <c r="O89" t="s">
        <v>32</v>
      </c>
      <c r="P89" t="s">
        <v>33</v>
      </c>
      <c r="Q89" t="s">
        <v>57</v>
      </c>
      <c r="R89" t="s">
        <v>35</v>
      </c>
      <c r="S89" t="str">
        <f>_xlfn.CONCAT(Tabla14[[#This Row],[ABR_01]],"X",Tabla14[[#This Row],[ABR_02]],Tabla14[[#This Row],[ZONA2]],,"X",Tabla14[[#This Row],[PARADA2]])</f>
        <v>ARXMI1X05</v>
      </c>
      <c r="T89" t="str">
        <f>Tabla14[[#This Row],[ABR_01]]&amp;Tabla14[[#This Row],[ABR_02]]&amp;Tabla14[[#This Row],[PARADA2]]</f>
        <v>ARMI05</v>
      </c>
      <c r="U89" s="37" t="s">
        <v>36</v>
      </c>
      <c r="V89" s="37" t="s">
        <v>36</v>
      </c>
      <c r="W89">
        <f>LEN(Tabla14[[#This Row],[Transport Zone 2]])</f>
        <v>9</v>
      </c>
    </row>
    <row r="90" spans="2:23" ht="16" hidden="1" thickTop="1" x14ac:dyDescent="0.2">
      <c r="B90" s="19" t="s">
        <v>40</v>
      </c>
      <c r="C90" s="8" t="s">
        <v>239</v>
      </c>
      <c r="D90" s="17" t="s">
        <v>239</v>
      </c>
      <c r="E90" s="9" t="s">
        <v>232</v>
      </c>
      <c r="F90" s="10" t="s">
        <v>77</v>
      </c>
      <c r="G90" s="13">
        <v>349</v>
      </c>
      <c r="H90" s="10">
        <v>315</v>
      </c>
      <c r="I90" s="24" t="s">
        <v>27</v>
      </c>
      <c r="J90" s="24" t="s">
        <v>233</v>
      </c>
      <c r="K90" s="25" t="s">
        <v>29</v>
      </c>
      <c r="L90" s="25" t="s">
        <v>67</v>
      </c>
      <c r="M90" s="15" t="s">
        <v>31</v>
      </c>
      <c r="N90" s="16" t="str">
        <f>Tabla14[[#This Row],[ABR_02]]</f>
        <v>MI</v>
      </c>
      <c r="O90" t="s">
        <v>32</v>
      </c>
      <c r="P90" t="s">
        <v>33</v>
      </c>
      <c r="Q90" t="s">
        <v>57</v>
      </c>
      <c r="R90" t="s">
        <v>35</v>
      </c>
      <c r="S90" t="str">
        <f>_xlfn.CONCAT(Tabla14[[#This Row],[ABR_01]],"X",Tabla14[[#This Row],[ABR_02]],Tabla14[[#This Row],[ZONA2]],,"X",Tabla14[[#This Row],[PARADA2]])</f>
        <v>ARXMI1X06</v>
      </c>
      <c r="T90" t="str">
        <f>Tabla14[[#This Row],[ABR_01]]&amp;Tabla14[[#This Row],[ABR_02]]&amp;Tabla14[[#This Row],[PARADA2]]</f>
        <v>ARMI06</v>
      </c>
      <c r="U90" s="37" t="s">
        <v>36</v>
      </c>
      <c r="V90" s="37" t="s">
        <v>36</v>
      </c>
      <c r="W90">
        <f>LEN(Tabla14[[#This Row],[Transport Zone 2]])</f>
        <v>9</v>
      </c>
    </row>
    <row r="91" spans="2:23" ht="16" hidden="1" thickTop="1" x14ac:dyDescent="0.2">
      <c r="B91" s="19" t="s">
        <v>40</v>
      </c>
      <c r="C91" s="8" t="s">
        <v>240</v>
      </c>
      <c r="D91" s="17" t="s">
        <v>241</v>
      </c>
      <c r="E91" s="9" t="s">
        <v>242</v>
      </c>
      <c r="F91" s="10" t="s">
        <v>196</v>
      </c>
      <c r="G91" s="13">
        <v>261</v>
      </c>
      <c r="H91" s="10">
        <v>530</v>
      </c>
      <c r="I91" s="24" t="s">
        <v>27</v>
      </c>
      <c r="J91" s="24" t="s">
        <v>243</v>
      </c>
      <c r="K91" s="25" t="s">
        <v>29</v>
      </c>
      <c r="L91" s="25" t="s">
        <v>30</v>
      </c>
      <c r="M91" s="15" t="s">
        <v>31</v>
      </c>
      <c r="N91" s="16" t="str">
        <f>Tabla14[[#This Row],[ABR_02]]</f>
        <v>MZ</v>
      </c>
      <c r="O91" t="s">
        <v>32</v>
      </c>
      <c r="P91" t="s">
        <v>33</v>
      </c>
      <c r="Q91" t="s">
        <v>57</v>
      </c>
      <c r="R91" t="s">
        <v>35</v>
      </c>
      <c r="S91" t="str">
        <f>_xlfn.CONCAT(Tabla14[[#This Row],[ABR_01]],"X",Tabla14[[#This Row],[ABR_02]],Tabla14[[#This Row],[ZONA2]],,"X",Tabla14[[#This Row],[PARADA2]])</f>
        <v>ARXMZ1X01</v>
      </c>
      <c r="T91" t="str">
        <f>Tabla14[[#This Row],[ABR_01]]&amp;Tabla14[[#This Row],[ABR_02]]&amp;Tabla14[[#This Row],[PARADA2]]</f>
        <v>ARMZ01</v>
      </c>
      <c r="U91" s="37" t="s">
        <v>36</v>
      </c>
      <c r="V91" s="37" t="s">
        <v>36</v>
      </c>
      <c r="W91">
        <f>LEN(Tabla14[[#This Row],[Transport Zone 2]])</f>
        <v>9</v>
      </c>
    </row>
    <row r="92" spans="2:23" ht="16" hidden="1" thickTop="1" x14ac:dyDescent="0.2">
      <c r="B92" s="19" t="s">
        <v>40</v>
      </c>
      <c r="C92" s="8" t="s">
        <v>244</v>
      </c>
      <c r="D92" s="12" t="s">
        <v>245</v>
      </c>
      <c r="E92" s="9" t="s">
        <v>242</v>
      </c>
      <c r="F92" s="10" t="s">
        <v>196</v>
      </c>
      <c r="G92" s="13">
        <v>261</v>
      </c>
      <c r="H92" s="10">
        <v>520</v>
      </c>
      <c r="I92" s="24" t="s">
        <v>27</v>
      </c>
      <c r="J92" s="24" t="s">
        <v>243</v>
      </c>
      <c r="K92" s="25" t="s">
        <v>29</v>
      </c>
      <c r="L92" s="25" t="s">
        <v>46</v>
      </c>
      <c r="M92" s="15" t="s">
        <v>31</v>
      </c>
      <c r="N92" s="16" t="str">
        <f>Tabla14[[#This Row],[ABR_02]]</f>
        <v>MZ</v>
      </c>
      <c r="O92" t="s">
        <v>32</v>
      </c>
      <c r="P92" t="s">
        <v>33</v>
      </c>
      <c r="Q92" t="s">
        <v>57</v>
      </c>
      <c r="R92" t="s">
        <v>35</v>
      </c>
      <c r="S92" t="str">
        <f>_xlfn.CONCAT(Tabla14[[#This Row],[ABR_01]],"X",Tabla14[[#This Row],[ABR_02]],Tabla14[[#This Row],[ZONA2]],,"X",Tabla14[[#This Row],[PARADA2]])</f>
        <v>ARXMZ1X02</v>
      </c>
      <c r="T92" t="str">
        <f>Tabla14[[#This Row],[ABR_01]]&amp;Tabla14[[#This Row],[ABR_02]]&amp;Tabla14[[#This Row],[PARADA2]]</f>
        <v>ARMZ02</v>
      </c>
      <c r="U92" s="37" t="s">
        <v>36</v>
      </c>
      <c r="V92" s="37" t="s">
        <v>36</v>
      </c>
      <c r="W92">
        <f>LEN(Tabla14[[#This Row],[Transport Zone 2]])</f>
        <v>9</v>
      </c>
    </row>
    <row r="93" spans="2:23" ht="16" hidden="1" thickTop="1" x14ac:dyDescent="0.2">
      <c r="B93" s="19" t="s">
        <v>40</v>
      </c>
      <c r="C93" s="8" t="s">
        <v>246</v>
      </c>
      <c r="D93" s="17" t="s">
        <v>247</v>
      </c>
      <c r="E93" s="9" t="s">
        <v>242</v>
      </c>
      <c r="F93" s="10" t="s">
        <v>196</v>
      </c>
      <c r="G93" s="13">
        <v>261</v>
      </c>
      <c r="H93" s="10">
        <v>555</v>
      </c>
      <c r="I93" s="24" t="s">
        <v>27</v>
      </c>
      <c r="J93" s="24" t="s">
        <v>243</v>
      </c>
      <c r="K93" s="25" t="s">
        <v>29</v>
      </c>
      <c r="L93" s="25" t="s">
        <v>48</v>
      </c>
      <c r="M93" s="15" t="s">
        <v>31</v>
      </c>
      <c r="N93" s="16" t="str">
        <f>Tabla14[[#This Row],[ABR_02]]</f>
        <v>MZ</v>
      </c>
      <c r="O93" t="s">
        <v>32</v>
      </c>
      <c r="P93" t="s">
        <v>33</v>
      </c>
      <c r="Q93" t="s">
        <v>57</v>
      </c>
      <c r="R93" t="s">
        <v>35</v>
      </c>
      <c r="S93" t="str">
        <f>_xlfn.CONCAT(Tabla14[[#This Row],[ABR_01]],"X",Tabla14[[#This Row],[ABR_02]],Tabla14[[#This Row],[ZONA2]],,"X",Tabla14[[#This Row],[PARADA2]])</f>
        <v>ARXMZ1X03</v>
      </c>
      <c r="T93" t="str">
        <f>Tabla14[[#This Row],[ABR_01]]&amp;Tabla14[[#This Row],[ABR_02]]&amp;Tabla14[[#This Row],[PARADA2]]</f>
        <v>ARMZ03</v>
      </c>
      <c r="U93" s="37" t="s">
        <v>36</v>
      </c>
      <c r="V93" s="37" t="s">
        <v>36</v>
      </c>
      <c r="W93">
        <f>LEN(Tabla14[[#This Row],[Transport Zone 2]])</f>
        <v>9</v>
      </c>
    </row>
    <row r="94" spans="2:23" ht="16" hidden="1" thickTop="1" x14ac:dyDescent="0.2">
      <c r="B94" s="19" t="s">
        <v>40</v>
      </c>
      <c r="C94" s="8" t="s">
        <v>248</v>
      </c>
      <c r="D94" s="17" t="s">
        <v>248</v>
      </c>
      <c r="E94" s="9" t="s">
        <v>242</v>
      </c>
      <c r="F94" s="10" t="s">
        <v>196</v>
      </c>
      <c r="G94" s="13">
        <v>261</v>
      </c>
      <c r="H94" s="10">
        <v>522</v>
      </c>
      <c r="I94" s="24" t="s">
        <v>27</v>
      </c>
      <c r="J94" s="24" t="s">
        <v>243</v>
      </c>
      <c r="K94" s="25" t="s">
        <v>29</v>
      </c>
      <c r="L94" s="25" t="s">
        <v>51</v>
      </c>
      <c r="M94" s="15" t="s">
        <v>31</v>
      </c>
      <c r="N94" s="16" t="str">
        <f>Tabla14[[#This Row],[ABR_02]]</f>
        <v>MZ</v>
      </c>
      <c r="O94" t="s">
        <v>32</v>
      </c>
      <c r="P94" t="s">
        <v>33</v>
      </c>
      <c r="Q94" t="s">
        <v>57</v>
      </c>
      <c r="R94" t="s">
        <v>35</v>
      </c>
      <c r="S94" t="str">
        <f>_xlfn.CONCAT(Tabla14[[#This Row],[ABR_01]],"X",Tabla14[[#This Row],[ABR_02]],Tabla14[[#This Row],[ZONA2]],,"X",Tabla14[[#This Row],[PARADA2]])</f>
        <v>ARXMZ1X04</v>
      </c>
      <c r="T94" t="str">
        <f>Tabla14[[#This Row],[ABR_01]]&amp;Tabla14[[#This Row],[ABR_02]]&amp;Tabla14[[#This Row],[PARADA2]]</f>
        <v>ARMZ04</v>
      </c>
      <c r="U94" s="37" t="s">
        <v>36</v>
      </c>
      <c r="V94" s="37" t="s">
        <v>36</v>
      </c>
      <c r="W94">
        <f>LEN(Tabla14[[#This Row],[Transport Zone 2]])</f>
        <v>9</v>
      </c>
    </row>
    <row r="95" spans="2:23" ht="16" hidden="1" thickTop="1" x14ac:dyDescent="0.2">
      <c r="B95" s="19" t="s">
        <v>40</v>
      </c>
      <c r="C95" s="8" t="s">
        <v>249</v>
      </c>
      <c r="D95" s="12" t="s">
        <v>250</v>
      </c>
      <c r="E95" s="9" t="s">
        <v>242</v>
      </c>
      <c r="F95" s="10" t="s">
        <v>196</v>
      </c>
      <c r="G95" s="13">
        <v>261</v>
      </c>
      <c r="H95" s="10">
        <v>540</v>
      </c>
      <c r="I95" s="24" t="s">
        <v>27</v>
      </c>
      <c r="J95" s="24" t="s">
        <v>243</v>
      </c>
      <c r="K95" s="25" t="s">
        <v>29</v>
      </c>
      <c r="L95" s="25" t="s">
        <v>65</v>
      </c>
      <c r="M95" s="15" t="s">
        <v>31</v>
      </c>
      <c r="N95" s="16" t="str">
        <f>Tabla14[[#This Row],[ABR_02]]</f>
        <v>MZ</v>
      </c>
      <c r="O95" t="s">
        <v>32</v>
      </c>
      <c r="P95" t="s">
        <v>33</v>
      </c>
      <c r="Q95" t="s">
        <v>57</v>
      </c>
      <c r="R95" t="s">
        <v>35</v>
      </c>
      <c r="S95" t="str">
        <f>_xlfn.CONCAT(Tabla14[[#This Row],[ABR_01]],"X",Tabla14[[#This Row],[ABR_02]],Tabla14[[#This Row],[ZONA2]],,"X",Tabla14[[#This Row],[PARADA2]])</f>
        <v>ARXMZ1X05</v>
      </c>
      <c r="T95" t="str">
        <f>Tabla14[[#This Row],[ABR_01]]&amp;Tabla14[[#This Row],[ABR_02]]&amp;Tabla14[[#This Row],[PARADA2]]</f>
        <v>ARMZ05</v>
      </c>
      <c r="U95" s="37" t="s">
        <v>36</v>
      </c>
      <c r="V95" s="37" t="s">
        <v>36</v>
      </c>
      <c r="W95">
        <f>LEN(Tabla14[[#This Row],[Transport Zone 2]])</f>
        <v>9</v>
      </c>
    </row>
    <row r="96" spans="2:23" ht="16" hidden="1" thickTop="1" x14ac:dyDescent="0.2">
      <c r="B96" s="19" t="s">
        <v>40</v>
      </c>
      <c r="C96" s="8" t="s">
        <v>251</v>
      </c>
      <c r="D96" s="17" t="s">
        <v>252</v>
      </c>
      <c r="E96" s="9" t="s">
        <v>242</v>
      </c>
      <c r="F96" s="10" t="s">
        <v>196</v>
      </c>
      <c r="G96" s="13">
        <v>261</v>
      </c>
      <c r="H96" s="10">
        <v>525</v>
      </c>
      <c r="I96" s="24" t="s">
        <v>27</v>
      </c>
      <c r="J96" s="24" t="s">
        <v>243</v>
      </c>
      <c r="K96" s="25" t="s">
        <v>29</v>
      </c>
      <c r="L96" s="25" t="s">
        <v>67</v>
      </c>
      <c r="M96" s="15" t="s">
        <v>31</v>
      </c>
      <c r="N96" s="16" t="str">
        <f>Tabla14[[#This Row],[ABR_02]]</f>
        <v>MZ</v>
      </c>
      <c r="O96" t="s">
        <v>32</v>
      </c>
      <c r="P96" t="s">
        <v>33</v>
      </c>
      <c r="Q96" t="s">
        <v>57</v>
      </c>
      <c r="R96" t="s">
        <v>35</v>
      </c>
      <c r="S96" t="str">
        <f>_xlfn.CONCAT(Tabla14[[#This Row],[ABR_01]],"X",Tabla14[[#This Row],[ABR_02]],Tabla14[[#This Row],[ZONA2]],,"X",Tabla14[[#This Row],[PARADA2]])</f>
        <v>ARXMZ1X06</v>
      </c>
      <c r="T96" t="str">
        <f>Tabla14[[#This Row],[ABR_01]]&amp;Tabla14[[#This Row],[ABR_02]]&amp;Tabla14[[#This Row],[PARADA2]]</f>
        <v>ARMZ06</v>
      </c>
      <c r="U96" s="37" t="s">
        <v>36</v>
      </c>
      <c r="V96" s="37" t="s">
        <v>36</v>
      </c>
      <c r="W96">
        <f>LEN(Tabla14[[#This Row],[Transport Zone 2]])</f>
        <v>9</v>
      </c>
    </row>
    <row r="97" spans="2:23" ht="16" hidden="1" thickTop="1" x14ac:dyDescent="0.2">
      <c r="B97" s="19" t="s">
        <v>40</v>
      </c>
      <c r="C97" s="8" t="s">
        <v>253</v>
      </c>
      <c r="D97" s="12" t="s">
        <v>254</v>
      </c>
      <c r="E97" s="9" t="s">
        <v>242</v>
      </c>
      <c r="F97" s="10" t="s">
        <v>196</v>
      </c>
      <c r="G97" s="13">
        <v>261</v>
      </c>
      <c r="H97" s="10">
        <v>515</v>
      </c>
      <c r="I97" s="24" t="s">
        <v>27</v>
      </c>
      <c r="J97" s="24" t="s">
        <v>243</v>
      </c>
      <c r="K97" s="25" t="s">
        <v>29</v>
      </c>
      <c r="L97" s="25" t="s">
        <v>70</v>
      </c>
      <c r="M97" s="15" t="s">
        <v>31</v>
      </c>
      <c r="N97" s="16" t="str">
        <f>Tabla14[[#This Row],[ABR_02]]</f>
        <v>MZ</v>
      </c>
      <c r="O97" t="s">
        <v>32</v>
      </c>
      <c r="P97" t="s">
        <v>33</v>
      </c>
      <c r="Q97" t="s">
        <v>57</v>
      </c>
      <c r="R97" t="s">
        <v>35</v>
      </c>
      <c r="S97" t="str">
        <f>_xlfn.CONCAT(Tabla14[[#This Row],[ABR_01]],"X",Tabla14[[#This Row],[ABR_02]],Tabla14[[#This Row],[ZONA2]],,"X",Tabla14[[#This Row],[PARADA2]])</f>
        <v>ARXMZ1X07</v>
      </c>
      <c r="T97" t="str">
        <f>Tabla14[[#This Row],[ABR_01]]&amp;Tabla14[[#This Row],[ABR_02]]&amp;Tabla14[[#This Row],[PARADA2]]</f>
        <v>ARMZ07</v>
      </c>
      <c r="U97" s="37" t="s">
        <v>36</v>
      </c>
      <c r="V97" s="37" t="s">
        <v>36</v>
      </c>
      <c r="W97">
        <f>LEN(Tabla14[[#This Row],[Transport Zone 2]])</f>
        <v>9</v>
      </c>
    </row>
    <row r="98" spans="2:23" ht="16" hidden="1" thickTop="1" x14ac:dyDescent="0.2">
      <c r="B98" s="19" t="s">
        <v>40</v>
      </c>
      <c r="C98" s="8" t="s">
        <v>255</v>
      </c>
      <c r="D98" s="17" t="s">
        <v>256</v>
      </c>
      <c r="E98" s="9" t="s">
        <v>242</v>
      </c>
      <c r="F98" s="10" t="s">
        <v>196</v>
      </c>
      <c r="G98" s="13">
        <v>261</v>
      </c>
      <c r="H98" s="10">
        <v>501</v>
      </c>
      <c r="I98" s="24" t="s">
        <v>27</v>
      </c>
      <c r="J98" s="24" t="s">
        <v>243</v>
      </c>
      <c r="K98" s="25" t="s">
        <v>29</v>
      </c>
      <c r="L98" s="25" t="s">
        <v>73</v>
      </c>
      <c r="M98" s="15" t="s">
        <v>31</v>
      </c>
      <c r="N98" s="16" t="str">
        <f>Tabla14[[#This Row],[ABR_02]]</f>
        <v>MZ</v>
      </c>
      <c r="O98" t="s">
        <v>32</v>
      </c>
      <c r="P98" t="s">
        <v>33</v>
      </c>
      <c r="Q98" t="s">
        <v>57</v>
      </c>
      <c r="R98" t="s">
        <v>35</v>
      </c>
      <c r="S98" t="str">
        <f>_xlfn.CONCAT(Tabla14[[#This Row],[ABR_01]],"X",Tabla14[[#This Row],[ABR_02]],Tabla14[[#This Row],[ZONA2]],,"X",Tabla14[[#This Row],[PARADA2]])</f>
        <v>ARXMZ1X08</v>
      </c>
      <c r="T98" t="str">
        <f>Tabla14[[#This Row],[ABR_01]]&amp;Tabla14[[#This Row],[ABR_02]]&amp;Tabla14[[#This Row],[PARADA2]]</f>
        <v>ARMZ08</v>
      </c>
      <c r="U98" s="37" t="s">
        <v>36</v>
      </c>
      <c r="V98" s="37" t="s">
        <v>36</v>
      </c>
      <c r="W98">
        <f>LEN(Tabla14[[#This Row],[Transport Zone 2]])</f>
        <v>9</v>
      </c>
    </row>
    <row r="99" spans="2:23" ht="16" hidden="1" thickTop="1" x14ac:dyDescent="0.2">
      <c r="B99" s="19" t="s">
        <v>40</v>
      </c>
      <c r="C99" s="8" t="s">
        <v>257</v>
      </c>
      <c r="D99" s="17" t="s">
        <v>257</v>
      </c>
      <c r="E99" s="9" t="s">
        <v>242</v>
      </c>
      <c r="F99" s="10" t="s">
        <v>196</v>
      </c>
      <c r="G99" s="13">
        <v>261</v>
      </c>
      <c r="H99" s="10">
        <v>523</v>
      </c>
      <c r="I99" s="24" t="s">
        <v>27</v>
      </c>
      <c r="J99" s="24" t="s">
        <v>243</v>
      </c>
      <c r="K99" s="25" t="s">
        <v>29</v>
      </c>
      <c r="L99" s="25" t="s">
        <v>125</v>
      </c>
      <c r="M99" s="15" t="s">
        <v>31</v>
      </c>
      <c r="N99" s="16" t="str">
        <f>Tabla14[[#This Row],[ABR_02]]</f>
        <v>MZ</v>
      </c>
      <c r="O99" t="s">
        <v>32</v>
      </c>
      <c r="P99" t="s">
        <v>33</v>
      </c>
      <c r="Q99" t="s">
        <v>57</v>
      </c>
      <c r="R99" t="s">
        <v>35</v>
      </c>
      <c r="S99" t="str">
        <f>_xlfn.CONCAT(Tabla14[[#This Row],[ABR_01]],"X",Tabla14[[#This Row],[ABR_02]],Tabla14[[#This Row],[ZONA2]],,"X",Tabla14[[#This Row],[PARADA2]])</f>
        <v>ARXMZ1X09</v>
      </c>
      <c r="T99" t="str">
        <f>Tabla14[[#This Row],[ABR_01]]&amp;Tabla14[[#This Row],[ABR_02]]&amp;Tabla14[[#This Row],[PARADA2]]</f>
        <v>ARMZ09</v>
      </c>
      <c r="U99" s="37" t="s">
        <v>36</v>
      </c>
      <c r="V99" s="37" t="s">
        <v>36</v>
      </c>
      <c r="W99">
        <f>LEN(Tabla14[[#This Row],[Transport Zone 2]])</f>
        <v>9</v>
      </c>
    </row>
    <row r="100" spans="2:23" ht="16" hidden="1" thickTop="1" x14ac:dyDescent="0.2">
      <c r="B100" s="19" t="s">
        <v>40</v>
      </c>
      <c r="C100" s="8" t="s">
        <v>258</v>
      </c>
      <c r="D100" s="12" t="s">
        <v>259</v>
      </c>
      <c r="E100" s="9" t="s">
        <v>242</v>
      </c>
      <c r="F100" s="10" t="s">
        <v>196</v>
      </c>
      <c r="G100" s="13">
        <v>261</v>
      </c>
      <c r="H100" s="10">
        <v>261</v>
      </c>
      <c r="I100" s="24" t="s">
        <v>27</v>
      </c>
      <c r="J100" s="24" t="s">
        <v>243</v>
      </c>
      <c r="K100" s="25" t="s">
        <v>29</v>
      </c>
      <c r="L100" s="25" t="s">
        <v>128</v>
      </c>
      <c r="M100" s="15" t="s">
        <v>31</v>
      </c>
      <c r="N100" s="16" t="str">
        <f>Tabla14[[#This Row],[ABR_02]]</f>
        <v>MZ</v>
      </c>
      <c r="O100" t="s">
        <v>32</v>
      </c>
      <c r="P100" t="s">
        <v>33</v>
      </c>
      <c r="Q100" t="s">
        <v>57</v>
      </c>
      <c r="R100" t="s">
        <v>35</v>
      </c>
      <c r="S100" t="str">
        <f>_xlfn.CONCAT(Tabla14[[#This Row],[ABR_01]],"X",Tabla14[[#This Row],[ABR_02]],Tabla14[[#This Row],[ZONA2]],,"X",Tabla14[[#This Row],[PARADA2]])</f>
        <v>ARXMZ1X10</v>
      </c>
      <c r="T100" t="str">
        <f>Tabla14[[#This Row],[ABR_01]]&amp;Tabla14[[#This Row],[ABR_02]]&amp;Tabla14[[#This Row],[PARADA2]]</f>
        <v>ARMZ10</v>
      </c>
      <c r="U100" s="37" t="s">
        <v>36</v>
      </c>
      <c r="V100" s="37" t="s">
        <v>36</v>
      </c>
      <c r="W100">
        <f>LEN(Tabla14[[#This Row],[Transport Zone 2]])</f>
        <v>9</v>
      </c>
    </row>
    <row r="101" spans="2:23" ht="16" hidden="1" thickTop="1" x14ac:dyDescent="0.2">
      <c r="B101" s="19" t="s">
        <v>40</v>
      </c>
      <c r="C101" s="8" t="s">
        <v>260</v>
      </c>
      <c r="D101" s="12" t="s">
        <v>236</v>
      </c>
      <c r="E101" s="9" t="s">
        <v>242</v>
      </c>
      <c r="F101" s="10" t="s">
        <v>196</v>
      </c>
      <c r="G101" s="13">
        <v>261</v>
      </c>
      <c r="H101" s="10">
        <v>550</v>
      </c>
      <c r="I101" s="24" t="s">
        <v>27</v>
      </c>
      <c r="J101" s="24" t="s">
        <v>243</v>
      </c>
      <c r="K101" s="25" t="s">
        <v>29</v>
      </c>
      <c r="L101" s="25" t="s">
        <v>130</v>
      </c>
      <c r="M101" s="15" t="s">
        <v>31</v>
      </c>
      <c r="N101" s="16" t="str">
        <f>Tabla14[[#This Row],[ABR_02]]</f>
        <v>MZ</v>
      </c>
      <c r="O101" t="s">
        <v>32</v>
      </c>
      <c r="P101" t="s">
        <v>33</v>
      </c>
      <c r="Q101" t="s">
        <v>57</v>
      </c>
      <c r="R101" t="s">
        <v>35</v>
      </c>
      <c r="S101" t="str">
        <f>_xlfn.CONCAT(Tabla14[[#This Row],[ABR_01]],"X",Tabla14[[#This Row],[ABR_02]],Tabla14[[#This Row],[ZONA2]],,"X",Tabla14[[#This Row],[PARADA2]])</f>
        <v>ARXMZ1X11</v>
      </c>
      <c r="T101" t="str">
        <f>Tabla14[[#This Row],[ABR_01]]&amp;Tabla14[[#This Row],[ABR_02]]&amp;Tabla14[[#This Row],[PARADA2]]</f>
        <v>ARMZ11</v>
      </c>
      <c r="U101" s="37" t="s">
        <v>36</v>
      </c>
      <c r="V101" s="37" t="s">
        <v>36</v>
      </c>
      <c r="W101">
        <f>LEN(Tabla14[[#This Row],[Transport Zone 2]])</f>
        <v>9</v>
      </c>
    </row>
    <row r="102" spans="2:23" ht="16" hidden="1" thickTop="1" x14ac:dyDescent="0.2">
      <c r="B102" s="19" t="s">
        <v>40</v>
      </c>
      <c r="C102" s="8" t="s">
        <v>261</v>
      </c>
      <c r="D102" s="17" t="s">
        <v>261</v>
      </c>
      <c r="E102" s="9" t="s">
        <v>242</v>
      </c>
      <c r="F102" s="10" t="s">
        <v>196</v>
      </c>
      <c r="G102" s="13">
        <v>261</v>
      </c>
      <c r="H102" s="10">
        <v>535</v>
      </c>
      <c r="I102" s="24" t="s">
        <v>27</v>
      </c>
      <c r="J102" s="24" t="s">
        <v>243</v>
      </c>
      <c r="K102" s="25" t="s">
        <v>29</v>
      </c>
      <c r="L102" s="25" t="s">
        <v>132</v>
      </c>
      <c r="M102" s="15" t="s">
        <v>31</v>
      </c>
      <c r="N102" s="16" t="str">
        <f>Tabla14[[#This Row],[ABR_02]]</f>
        <v>MZ</v>
      </c>
      <c r="O102" t="s">
        <v>32</v>
      </c>
      <c r="P102" t="s">
        <v>33</v>
      </c>
      <c r="Q102" t="s">
        <v>57</v>
      </c>
      <c r="R102" t="s">
        <v>35</v>
      </c>
      <c r="S102" t="str">
        <f>_xlfn.CONCAT(Tabla14[[#This Row],[ABR_01]],"X",Tabla14[[#This Row],[ABR_02]],Tabla14[[#This Row],[ZONA2]],,"X",Tabla14[[#This Row],[PARADA2]])</f>
        <v>ARXMZ1X12</v>
      </c>
      <c r="T102" t="str">
        <f>Tabla14[[#This Row],[ABR_01]]&amp;Tabla14[[#This Row],[ABR_02]]&amp;Tabla14[[#This Row],[PARADA2]]</f>
        <v>ARMZ12</v>
      </c>
      <c r="U102" s="37" t="s">
        <v>36</v>
      </c>
      <c r="V102" s="37" t="s">
        <v>36</v>
      </c>
      <c r="W102">
        <f>LEN(Tabla14[[#This Row],[Transport Zone 2]])</f>
        <v>9</v>
      </c>
    </row>
    <row r="103" spans="2:23" ht="16" hidden="1" thickTop="1" x14ac:dyDescent="0.2">
      <c r="B103" s="19" t="s">
        <v>40</v>
      </c>
      <c r="C103" s="8" t="s">
        <v>262</v>
      </c>
      <c r="D103" s="12" t="s">
        <v>263</v>
      </c>
      <c r="E103" s="9" t="s">
        <v>264</v>
      </c>
      <c r="F103" s="10" t="s">
        <v>265</v>
      </c>
      <c r="G103" s="13">
        <v>358</v>
      </c>
      <c r="H103" s="10">
        <v>476</v>
      </c>
      <c r="I103" s="24" t="s">
        <v>27</v>
      </c>
      <c r="J103" s="24" t="s">
        <v>266</v>
      </c>
      <c r="K103" s="25" t="s">
        <v>29</v>
      </c>
      <c r="L103" s="25" t="s">
        <v>30</v>
      </c>
      <c r="M103" s="15" t="s">
        <v>31</v>
      </c>
      <c r="N103" s="16" t="str">
        <f>Tabla14[[#This Row],[ABR_02]]</f>
        <v>LR</v>
      </c>
      <c r="O103" t="s">
        <v>32</v>
      </c>
      <c r="P103" t="s">
        <v>33</v>
      </c>
      <c r="Q103" t="s">
        <v>32</v>
      </c>
      <c r="R103" t="s">
        <v>35</v>
      </c>
      <c r="S103" t="str">
        <f>_xlfn.CONCAT(Tabla14[[#This Row],[ABR_01]],"X",Tabla14[[#This Row],[ABR_02]],Tabla14[[#This Row],[ZONA2]],,"X",Tabla14[[#This Row],[PARADA2]])</f>
        <v>ARXLR1X01</v>
      </c>
      <c r="T103" t="str">
        <f>Tabla14[[#This Row],[ABR_01]]&amp;Tabla14[[#This Row],[ABR_02]]&amp;Tabla14[[#This Row],[PARADA2]]</f>
        <v>ARLR01</v>
      </c>
      <c r="U103" s="37" t="s">
        <v>36</v>
      </c>
      <c r="V103" s="37" t="s">
        <v>36</v>
      </c>
      <c r="W103">
        <f>LEN(Tabla14[[#This Row],[Transport Zone 2]])</f>
        <v>9</v>
      </c>
    </row>
    <row r="104" spans="2:23" ht="16" hidden="1" thickTop="1" x14ac:dyDescent="0.2">
      <c r="B104" s="19" t="s">
        <v>40</v>
      </c>
      <c r="C104" s="8" t="s">
        <v>267</v>
      </c>
      <c r="D104" s="12" t="s">
        <v>268</v>
      </c>
      <c r="E104" s="9" t="s">
        <v>264</v>
      </c>
      <c r="F104" s="10" t="s">
        <v>265</v>
      </c>
      <c r="G104" s="13">
        <v>358</v>
      </c>
      <c r="H104" s="10">
        <v>475</v>
      </c>
      <c r="I104" s="24" t="s">
        <v>27</v>
      </c>
      <c r="J104" s="24" t="s">
        <v>266</v>
      </c>
      <c r="K104" s="25" t="s">
        <v>29</v>
      </c>
      <c r="L104" s="25" t="s">
        <v>46</v>
      </c>
      <c r="M104" s="15" t="s">
        <v>31</v>
      </c>
      <c r="N104" s="16" t="str">
        <f>Tabla14[[#This Row],[ABR_02]]</f>
        <v>LR</v>
      </c>
      <c r="O104" t="s">
        <v>32</v>
      </c>
      <c r="P104" t="s">
        <v>33</v>
      </c>
      <c r="Q104" t="s">
        <v>32</v>
      </c>
      <c r="R104" t="s">
        <v>35</v>
      </c>
      <c r="S104" t="str">
        <f>_xlfn.CONCAT(Tabla14[[#This Row],[ABR_01]],"X",Tabla14[[#This Row],[ABR_02]],Tabla14[[#This Row],[ZONA2]],,"X",Tabla14[[#This Row],[PARADA2]])</f>
        <v>ARXLR1X02</v>
      </c>
      <c r="T104" t="str">
        <f>Tabla14[[#This Row],[ABR_01]]&amp;Tabla14[[#This Row],[ABR_02]]&amp;Tabla14[[#This Row],[PARADA2]]</f>
        <v>ARLR02</v>
      </c>
      <c r="U104" s="37" t="s">
        <v>36</v>
      </c>
      <c r="V104" s="37" t="s">
        <v>36</v>
      </c>
      <c r="W104">
        <f>LEN(Tabla14[[#This Row],[Transport Zone 2]])</f>
        <v>9</v>
      </c>
    </row>
    <row r="105" spans="2:23" ht="16" hidden="1" thickTop="1" x14ac:dyDescent="0.2">
      <c r="B105" s="19" t="s">
        <v>40</v>
      </c>
      <c r="C105" s="8" t="s">
        <v>269</v>
      </c>
      <c r="D105" s="12" t="s">
        <v>270</v>
      </c>
      <c r="E105" s="9" t="s">
        <v>271</v>
      </c>
      <c r="F105" s="10" t="s">
        <v>272</v>
      </c>
      <c r="G105" s="13">
        <v>295</v>
      </c>
      <c r="H105" s="10">
        <v>820</v>
      </c>
      <c r="I105" s="24" t="s">
        <v>27</v>
      </c>
      <c r="J105" s="24" t="s">
        <v>273</v>
      </c>
      <c r="K105" s="25" t="s">
        <v>29</v>
      </c>
      <c r="L105" s="25" t="s">
        <v>30</v>
      </c>
      <c r="M105" s="15" t="s">
        <v>31</v>
      </c>
      <c r="N105" s="16" t="str">
        <f>Tabla14[[#This Row],[ABR_02]]</f>
        <v>LP</v>
      </c>
      <c r="O105" t="s">
        <v>32</v>
      </c>
      <c r="P105" t="s">
        <v>33</v>
      </c>
      <c r="Q105" t="s">
        <v>32</v>
      </c>
      <c r="R105" t="s">
        <v>35</v>
      </c>
      <c r="S105" t="str">
        <f>_xlfn.CONCAT(Tabla14[[#This Row],[ABR_01]],"X",Tabla14[[#This Row],[ABR_02]],Tabla14[[#This Row],[ZONA2]],,"X",Tabla14[[#This Row],[PARADA2]])</f>
        <v>ARXLP1X01</v>
      </c>
      <c r="T105" t="str">
        <f>Tabla14[[#This Row],[ABR_01]]&amp;Tabla14[[#This Row],[ABR_02]]&amp;Tabla14[[#This Row],[PARADA2]]</f>
        <v>ARLP01</v>
      </c>
      <c r="U105" s="37" t="s">
        <v>36</v>
      </c>
      <c r="V105" s="37" t="s">
        <v>36</v>
      </c>
      <c r="W105">
        <f>LEN(Tabla14[[#This Row],[Transport Zone 2]])</f>
        <v>9</v>
      </c>
    </row>
    <row r="106" spans="2:23" ht="16" hidden="1" thickTop="1" x14ac:dyDescent="0.2">
      <c r="B106" s="19" t="s">
        <v>40</v>
      </c>
      <c r="C106" s="8" t="s">
        <v>274</v>
      </c>
      <c r="D106" s="17" t="s">
        <v>274</v>
      </c>
      <c r="E106" s="9" t="s">
        <v>271</v>
      </c>
      <c r="F106" s="10" t="s">
        <v>272</v>
      </c>
      <c r="G106" s="13">
        <v>295</v>
      </c>
      <c r="H106" s="10">
        <v>806</v>
      </c>
      <c r="I106" s="24" t="s">
        <v>27</v>
      </c>
      <c r="J106" s="24" t="s">
        <v>273</v>
      </c>
      <c r="K106" s="25" t="s">
        <v>29</v>
      </c>
      <c r="L106" s="25" t="s">
        <v>46</v>
      </c>
      <c r="M106" s="15" t="s">
        <v>31</v>
      </c>
      <c r="N106" s="16" t="str">
        <f>Tabla14[[#This Row],[ABR_02]]</f>
        <v>LP</v>
      </c>
      <c r="O106" t="s">
        <v>32</v>
      </c>
      <c r="P106" t="s">
        <v>33</v>
      </c>
      <c r="Q106" t="s">
        <v>32</v>
      </c>
      <c r="R106" t="s">
        <v>35</v>
      </c>
      <c r="S106" t="str">
        <f>_xlfn.CONCAT(Tabla14[[#This Row],[ABR_01]],"X",Tabla14[[#This Row],[ABR_02]],Tabla14[[#This Row],[ZONA2]],,"X",Tabla14[[#This Row],[PARADA2]])</f>
        <v>ARXLP1X02</v>
      </c>
      <c r="T106" t="str">
        <f>Tabla14[[#This Row],[ABR_01]]&amp;Tabla14[[#This Row],[ABR_02]]&amp;Tabla14[[#This Row],[PARADA2]]</f>
        <v>ARLP02</v>
      </c>
      <c r="U106" s="37" t="s">
        <v>36</v>
      </c>
      <c r="V106" s="37" t="s">
        <v>36</v>
      </c>
      <c r="W106">
        <f>LEN(Tabla14[[#This Row],[Transport Zone 2]])</f>
        <v>9</v>
      </c>
    </row>
    <row r="107" spans="2:23" ht="16" hidden="1" thickTop="1" x14ac:dyDescent="0.2">
      <c r="B107" s="19" t="s">
        <v>40</v>
      </c>
      <c r="C107" s="8" t="s">
        <v>275</v>
      </c>
      <c r="D107" s="17" t="s">
        <v>275</v>
      </c>
      <c r="E107" s="9" t="s">
        <v>271</v>
      </c>
      <c r="F107" s="10" t="s">
        <v>272</v>
      </c>
      <c r="G107" s="13">
        <v>295</v>
      </c>
      <c r="H107" s="10">
        <v>295</v>
      </c>
      <c r="I107" s="24" t="s">
        <v>27</v>
      </c>
      <c r="J107" s="24" t="s">
        <v>273</v>
      </c>
      <c r="K107" s="25" t="s">
        <v>29</v>
      </c>
      <c r="L107" s="25" t="s">
        <v>48</v>
      </c>
      <c r="M107" s="15" t="s">
        <v>31</v>
      </c>
      <c r="N107" s="16" t="str">
        <f>Tabla14[[#This Row],[ABR_02]]</f>
        <v>LP</v>
      </c>
      <c r="O107" t="s">
        <v>32</v>
      </c>
      <c r="P107" t="s">
        <v>33</v>
      </c>
      <c r="Q107" t="s">
        <v>32</v>
      </c>
      <c r="R107" t="s">
        <v>35</v>
      </c>
      <c r="S107" t="str">
        <f>_xlfn.CONCAT(Tabla14[[#This Row],[ABR_01]],"X",Tabla14[[#This Row],[ABR_02]],Tabla14[[#This Row],[ZONA2]],,"X",Tabla14[[#This Row],[PARADA2]])</f>
        <v>ARXLP1X03</v>
      </c>
      <c r="T107" t="str">
        <f>Tabla14[[#This Row],[ABR_01]]&amp;Tabla14[[#This Row],[ABR_02]]&amp;Tabla14[[#This Row],[PARADA2]]</f>
        <v>ARLP03</v>
      </c>
      <c r="U107" s="37" t="s">
        <v>36</v>
      </c>
      <c r="V107" s="37" t="s">
        <v>36</v>
      </c>
      <c r="W107">
        <f>LEN(Tabla14[[#This Row],[Transport Zone 2]])</f>
        <v>9</v>
      </c>
    </row>
    <row r="108" spans="2:23" ht="16" hidden="1" thickTop="1" x14ac:dyDescent="0.2">
      <c r="B108" s="19" t="s">
        <v>40</v>
      </c>
      <c r="C108" s="8" t="s">
        <v>276</v>
      </c>
      <c r="D108" s="12" t="s">
        <v>277</v>
      </c>
      <c r="E108" s="9" t="s">
        <v>271</v>
      </c>
      <c r="F108" s="10" t="s">
        <v>272</v>
      </c>
      <c r="G108" s="13">
        <v>295</v>
      </c>
      <c r="H108" s="10">
        <v>815</v>
      </c>
      <c r="I108" s="24" t="s">
        <v>27</v>
      </c>
      <c r="J108" s="24" t="s">
        <v>273</v>
      </c>
      <c r="K108" s="25" t="s">
        <v>29</v>
      </c>
      <c r="L108" s="25" t="s">
        <v>51</v>
      </c>
      <c r="M108" s="15" t="s">
        <v>31</v>
      </c>
      <c r="N108" s="16" t="str">
        <f>Tabla14[[#This Row],[ABR_02]]</f>
        <v>LP</v>
      </c>
      <c r="O108" t="s">
        <v>32</v>
      </c>
      <c r="P108" t="s">
        <v>33</v>
      </c>
      <c r="Q108" t="s">
        <v>32</v>
      </c>
      <c r="R108" t="s">
        <v>35</v>
      </c>
      <c r="S108" t="str">
        <f>_xlfn.CONCAT(Tabla14[[#This Row],[ABR_01]],"X",Tabla14[[#This Row],[ABR_02]],Tabla14[[#This Row],[ZONA2]],,"X",Tabla14[[#This Row],[PARADA2]])</f>
        <v>ARXLP1X04</v>
      </c>
      <c r="T108" t="str">
        <f>Tabla14[[#This Row],[ABR_01]]&amp;Tabla14[[#This Row],[ABR_02]]&amp;Tabla14[[#This Row],[PARADA2]]</f>
        <v>ARLP04</v>
      </c>
      <c r="U108" s="37" t="s">
        <v>36</v>
      </c>
      <c r="V108" s="37" t="s">
        <v>36</v>
      </c>
      <c r="W108">
        <f>LEN(Tabla14[[#This Row],[Transport Zone 2]])</f>
        <v>9</v>
      </c>
    </row>
    <row r="109" spans="2:23" ht="16" hidden="1" thickTop="1" x14ac:dyDescent="0.2">
      <c r="B109" s="19" t="s">
        <v>40</v>
      </c>
      <c r="C109" s="8" t="s">
        <v>278</v>
      </c>
      <c r="D109" s="17" t="s">
        <v>278</v>
      </c>
      <c r="E109" s="9" t="s">
        <v>279</v>
      </c>
      <c r="F109" s="10" t="s">
        <v>88</v>
      </c>
      <c r="G109" s="13">
        <v>362</v>
      </c>
      <c r="H109" s="10">
        <v>465</v>
      </c>
      <c r="I109" s="24" t="s">
        <v>27</v>
      </c>
      <c r="J109" s="24" t="s">
        <v>280</v>
      </c>
      <c r="K109" s="25" t="s">
        <v>29</v>
      </c>
      <c r="L109" s="25" t="s">
        <v>30</v>
      </c>
      <c r="M109" s="15" t="s">
        <v>31</v>
      </c>
      <c r="N109" s="16" t="str">
        <f>Tabla14[[#This Row],[ABR_02]]</f>
        <v>JY</v>
      </c>
      <c r="O109" t="s">
        <v>32</v>
      </c>
      <c r="P109" t="s">
        <v>33</v>
      </c>
      <c r="Q109" t="s">
        <v>57</v>
      </c>
      <c r="R109" t="s">
        <v>35</v>
      </c>
      <c r="S109" t="str">
        <f>_xlfn.CONCAT(Tabla14[[#This Row],[ABR_01]],"X",Tabla14[[#This Row],[ABR_02]],Tabla14[[#This Row],[ZONA2]],,"X",Tabla14[[#This Row],[PARADA2]])</f>
        <v>ARXJY1X01</v>
      </c>
      <c r="T109" t="str">
        <f>Tabla14[[#This Row],[ABR_01]]&amp;Tabla14[[#This Row],[ABR_02]]&amp;Tabla14[[#This Row],[PARADA2]]</f>
        <v>ARJY01</v>
      </c>
      <c r="U109" s="37" t="s">
        <v>36</v>
      </c>
      <c r="V109" s="37" t="s">
        <v>36</v>
      </c>
      <c r="W109">
        <f>LEN(Tabla14[[#This Row],[Transport Zone 2]])</f>
        <v>9</v>
      </c>
    </row>
    <row r="110" spans="2:23" ht="16" hidden="1" thickTop="1" x14ac:dyDescent="0.2">
      <c r="B110" s="19" t="s">
        <v>40</v>
      </c>
      <c r="C110" s="8" t="s">
        <v>281</v>
      </c>
      <c r="D110" s="17" t="s">
        <v>282</v>
      </c>
      <c r="E110" s="9" t="s">
        <v>279</v>
      </c>
      <c r="F110" s="10" t="s">
        <v>88</v>
      </c>
      <c r="G110" s="13">
        <v>362</v>
      </c>
      <c r="H110" s="10">
        <v>450</v>
      </c>
      <c r="I110" s="24" t="s">
        <v>27</v>
      </c>
      <c r="J110" s="24" t="s">
        <v>280</v>
      </c>
      <c r="K110" s="25" t="s">
        <v>29</v>
      </c>
      <c r="L110" s="25" t="s">
        <v>46</v>
      </c>
      <c r="M110" s="15" t="s">
        <v>31</v>
      </c>
      <c r="N110" s="16" t="str">
        <f>Tabla14[[#This Row],[ABR_02]]</f>
        <v>JY</v>
      </c>
      <c r="O110" t="s">
        <v>32</v>
      </c>
      <c r="P110" t="s">
        <v>33</v>
      </c>
      <c r="Q110" t="s">
        <v>57</v>
      </c>
      <c r="R110" t="s">
        <v>35</v>
      </c>
      <c r="S110" t="str">
        <f>_xlfn.CONCAT(Tabla14[[#This Row],[ABR_01]],"X",Tabla14[[#This Row],[ABR_02]],Tabla14[[#This Row],[ZONA2]],,"X",Tabla14[[#This Row],[PARADA2]])</f>
        <v>ARXJY1X02</v>
      </c>
      <c r="T110" t="str">
        <f>Tabla14[[#This Row],[ABR_01]]&amp;Tabla14[[#This Row],[ABR_02]]&amp;Tabla14[[#This Row],[PARADA2]]</f>
        <v>ARJY02</v>
      </c>
      <c r="U110" s="37" t="s">
        <v>36</v>
      </c>
      <c r="V110" s="37" t="s">
        <v>36</v>
      </c>
      <c r="W110">
        <f>LEN(Tabla14[[#This Row],[Transport Zone 2]])</f>
        <v>9</v>
      </c>
    </row>
    <row r="111" spans="2:23" ht="16" hidden="1" thickTop="1" x14ac:dyDescent="0.2">
      <c r="B111" s="19" t="s">
        <v>40</v>
      </c>
      <c r="C111" s="8" t="s">
        <v>283</v>
      </c>
      <c r="D111" s="12" t="s">
        <v>284</v>
      </c>
      <c r="E111" s="9" t="s">
        <v>279</v>
      </c>
      <c r="F111" s="10" t="s">
        <v>88</v>
      </c>
      <c r="G111" s="13">
        <v>362</v>
      </c>
      <c r="H111" s="10">
        <v>381</v>
      </c>
      <c r="I111" s="24" t="s">
        <v>27</v>
      </c>
      <c r="J111" s="24" t="s">
        <v>280</v>
      </c>
      <c r="K111" s="25" t="s">
        <v>29</v>
      </c>
      <c r="L111" s="25" t="s">
        <v>48</v>
      </c>
      <c r="M111" s="15" t="s">
        <v>31</v>
      </c>
      <c r="N111" s="16" t="str">
        <f>Tabla14[[#This Row],[ABR_02]]</f>
        <v>JY</v>
      </c>
      <c r="O111" t="s">
        <v>32</v>
      </c>
      <c r="P111" t="s">
        <v>33</v>
      </c>
      <c r="Q111" t="s">
        <v>57</v>
      </c>
      <c r="R111" t="s">
        <v>35</v>
      </c>
      <c r="S111" t="str">
        <f>_xlfn.CONCAT(Tabla14[[#This Row],[ABR_01]],"X",Tabla14[[#This Row],[ABR_02]],Tabla14[[#This Row],[ZONA2]],,"X",Tabla14[[#This Row],[PARADA2]])</f>
        <v>ARXJY1X03</v>
      </c>
      <c r="T111" t="str">
        <f>Tabla14[[#This Row],[ABR_01]]&amp;Tabla14[[#This Row],[ABR_02]]&amp;Tabla14[[#This Row],[PARADA2]]</f>
        <v>ARJY03</v>
      </c>
      <c r="U111" s="37" t="s">
        <v>36</v>
      </c>
      <c r="V111" s="37" t="s">
        <v>36</v>
      </c>
      <c r="W111">
        <f>LEN(Tabla14[[#This Row],[Transport Zone 2]])</f>
        <v>9</v>
      </c>
    </row>
    <row r="112" spans="2:23" ht="16" hidden="1" thickTop="1" x14ac:dyDescent="0.2">
      <c r="B112" s="19" t="s">
        <v>40</v>
      </c>
      <c r="C112" s="8" t="s">
        <v>285</v>
      </c>
      <c r="D112" s="17" t="s">
        <v>285</v>
      </c>
      <c r="E112" s="9" t="s">
        <v>279</v>
      </c>
      <c r="F112" s="10" t="s">
        <v>88</v>
      </c>
      <c r="G112" s="13">
        <v>362</v>
      </c>
      <c r="H112" s="10">
        <v>445</v>
      </c>
      <c r="I112" s="24" t="s">
        <v>27</v>
      </c>
      <c r="J112" s="24" t="s">
        <v>280</v>
      </c>
      <c r="K112" s="25" t="s">
        <v>29</v>
      </c>
      <c r="L112" s="25" t="s">
        <v>51</v>
      </c>
      <c r="M112" s="15" t="s">
        <v>31</v>
      </c>
      <c r="N112" s="16" t="str">
        <f>Tabla14[[#This Row],[ABR_02]]</f>
        <v>JY</v>
      </c>
      <c r="O112" t="s">
        <v>32</v>
      </c>
      <c r="P112" t="s">
        <v>33</v>
      </c>
      <c r="Q112" t="s">
        <v>57</v>
      </c>
      <c r="R112" t="s">
        <v>35</v>
      </c>
      <c r="S112" t="str">
        <f>_xlfn.CONCAT(Tabla14[[#This Row],[ABR_01]],"X",Tabla14[[#This Row],[ABR_02]],Tabla14[[#This Row],[ZONA2]],,"X",Tabla14[[#This Row],[PARADA2]])</f>
        <v>ARXJY1X04</v>
      </c>
      <c r="T112" t="str">
        <f>Tabla14[[#This Row],[ABR_01]]&amp;Tabla14[[#This Row],[ABR_02]]&amp;Tabla14[[#This Row],[PARADA2]]</f>
        <v>ARJY04</v>
      </c>
      <c r="U112" s="37" t="s">
        <v>36</v>
      </c>
      <c r="V112" s="37" t="s">
        <v>36</v>
      </c>
      <c r="W112">
        <f>LEN(Tabla14[[#This Row],[Transport Zone 2]])</f>
        <v>9</v>
      </c>
    </row>
    <row r="113" spans="2:23" ht="16" hidden="1" thickTop="1" x14ac:dyDescent="0.2">
      <c r="B113" s="19" t="s">
        <v>40</v>
      </c>
      <c r="C113" s="8" t="s">
        <v>286</v>
      </c>
      <c r="D113" s="17" t="s">
        <v>286</v>
      </c>
      <c r="E113" s="9" t="s">
        <v>279</v>
      </c>
      <c r="F113" s="10" t="s">
        <v>88</v>
      </c>
      <c r="G113" s="13">
        <v>362</v>
      </c>
      <c r="H113" s="10">
        <v>460</v>
      </c>
      <c r="I113" s="24" t="s">
        <v>27</v>
      </c>
      <c r="J113" s="24" t="s">
        <v>280</v>
      </c>
      <c r="K113" s="25" t="s">
        <v>29</v>
      </c>
      <c r="L113" s="25" t="s">
        <v>65</v>
      </c>
      <c r="M113" s="15" t="s">
        <v>31</v>
      </c>
      <c r="N113" s="16" t="str">
        <f>Tabla14[[#This Row],[ABR_02]]</f>
        <v>JY</v>
      </c>
      <c r="O113" t="s">
        <v>32</v>
      </c>
      <c r="P113" t="s">
        <v>33</v>
      </c>
      <c r="Q113" t="s">
        <v>57</v>
      </c>
      <c r="R113" t="s">
        <v>35</v>
      </c>
      <c r="S113" t="str">
        <f>_xlfn.CONCAT(Tabla14[[#This Row],[ABR_01]],"X",Tabla14[[#This Row],[ABR_02]],Tabla14[[#This Row],[ZONA2]],,"X",Tabla14[[#This Row],[PARADA2]])</f>
        <v>ARXJY1X05</v>
      </c>
      <c r="T113" t="str">
        <f>Tabla14[[#This Row],[ABR_01]]&amp;Tabla14[[#This Row],[ABR_02]]&amp;Tabla14[[#This Row],[PARADA2]]</f>
        <v>ARJY05</v>
      </c>
      <c r="U113" s="37" t="s">
        <v>36</v>
      </c>
      <c r="V113" s="37" t="s">
        <v>36</v>
      </c>
      <c r="W113">
        <f>LEN(Tabla14[[#This Row],[Transport Zone 2]])</f>
        <v>9</v>
      </c>
    </row>
    <row r="114" spans="2:23" ht="16" hidden="1" thickTop="1" x14ac:dyDescent="0.2">
      <c r="B114" s="19" t="s">
        <v>40</v>
      </c>
      <c r="C114" s="8" t="s">
        <v>287</v>
      </c>
      <c r="D114" s="12" t="s">
        <v>288</v>
      </c>
      <c r="E114" s="9" t="s">
        <v>289</v>
      </c>
      <c r="F114" s="10" t="s">
        <v>77</v>
      </c>
      <c r="G114" s="13">
        <v>343</v>
      </c>
      <c r="H114" s="10">
        <v>360</v>
      </c>
      <c r="I114" s="24" t="s">
        <v>27</v>
      </c>
      <c r="J114" s="24" t="s">
        <v>290</v>
      </c>
      <c r="K114" s="25" t="s">
        <v>29</v>
      </c>
      <c r="L114" s="25" t="s">
        <v>30</v>
      </c>
      <c r="M114" s="15" t="s">
        <v>31</v>
      </c>
      <c r="N114" s="16" t="str">
        <f>Tabla14[[#This Row],[ABR_02]]</f>
        <v>FO</v>
      </c>
      <c r="O114" t="s">
        <v>32</v>
      </c>
      <c r="P114" t="s">
        <v>33</v>
      </c>
      <c r="Q114" t="s">
        <v>57</v>
      </c>
      <c r="R114" t="s">
        <v>35</v>
      </c>
      <c r="S114" t="str">
        <f>_xlfn.CONCAT(Tabla14[[#This Row],[ABR_01]],"X",Tabla14[[#This Row],[ABR_02]],Tabla14[[#This Row],[ZONA2]],,"X",Tabla14[[#This Row],[PARADA2]])</f>
        <v>ARXFO1X01</v>
      </c>
      <c r="T114" t="str">
        <f>Tabla14[[#This Row],[ABR_01]]&amp;Tabla14[[#This Row],[ABR_02]]&amp;Tabla14[[#This Row],[PARADA2]]</f>
        <v>ARFO01</v>
      </c>
      <c r="U114" s="37" t="s">
        <v>36</v>
      </c>
      <c r="V114" s="37" t="s">
        <v>36</v>
      </c>
      <c r="W114">
        <f>LEN(Tabla14[[#This Row],[Transport Zone 2]])</f>
        <v>9</v>
      </c>
    </row>
    <row r="115" spans="2:23" ht="16" hidden="1" thickTop="1" x14ac:dyDescent="0.2">
      <c r="B115" s="19" t="s">
        <v>40</v>
      </c>
      <c r="C115" s="8" t="s">
        <v>291</v>
      </c>
      <c r="D115" s="12" t="s">
        <v>292</v>
      </c>
      <c r="E115" s="9" t="s">
        <v>289</v>
      </c>
      <c r="F115" s="10" t="s">
        <v>77</v>
      </c>
      <c r="G115" s="13">
        <v>343</v>
      </c>
      <c r="H115" s="10">
        <v>355</v>
      </c>
      <c r="I115" s="24" t="s">
        <v>27</v>
      </c>
      <c r="J115" s="24" t="s">
        <v>290</v>
      </c>
      <c r="K115" s="25" t="s">
        <v>29</v>
      </c>
      <c r="L115" s="25" t="s">
        <v>46</v>
      </c>
      <c r="M115" s="15" t="s">
        <v>31</v>
      </c>
      <c r="N115" s="16" t="str">
        <f>Tabla14[[#This Row],[ABR_02]]</f>
        <v>FO</v>
      </c>
      <c r="O115" t="s">
        <v>32</v>
      </c>
      <c r="P115" t="s">
        <v>33</v>
      </c>
      <c r="Q115" t="s">
        <v>57</v>
      </c>
      <c r="R115" t="s">
        <v>35</v>
      </c>
      <c r="S115" t="str">
        <f>_xlfn.CONCAT(Tabla14[[#This Row],[ABR_01]],"X",Tabla14[[#This Row],[ABR_02]],Tabla14[[#This Row],[ZONA2]],,"X",Tabla14[[#This Row],[PARADA2]])</f>
        <v>ARXFO1X02</v>
      </c>
      <c r="T115" t="str">
        <f>Tabla14[[#This Row],[ABR_01]]&amp;Tabla14[[#This Row],[ABR_02]]&amp;Tabla14[[#This Row],[PARADA2]]</f>
        <v>ARFO02</v>
      </c>
      <c r="U115" s="37" t="s">
        <v>36</v>
      </c>
      <c r="V115" s="37" t="s">
        <v>36</v>
      </c>
      <c r="W115">
        <f>LEN(Tabla14[[#This Row],[Transport Zone 2]])</f>
        <v>9</v>
      </c>
    </row>
    <row r="116" spans="2:23" ht="16" hidden="1" thickTop="1" x14ac:dyDescent="0.2">
      <c r="B116" s="19" t="s">
        <v>40</v>
      </c>
      <c r="C116" s="8" t="s">
        <v>293</v>
      </c>
      <c r="D116" s="17" t="s">
        <v>293</v>
      </c>
      <c r="E116" s="9" t="s">
        <v>294</v>
      </c>
      <c r="F116" s="10" t="s">
        <v>295</v>
      </c>
      <c r="G116" s="13">
        <v>347</v>
      </c>
      <c r="H116" s="10">
        <v>280</v>
      </c>
      <c r="I116" s="24" t="s">
        <v>27</v>
      </c>
      <c r="J116" s="24" t="s">
        <v>296</v>
      </c>
      <c r="K116" s="25" t="s">
        <v>29</v>
      </c>
      <c r="L116" s="25" t="s">
        <v>30</v>
      </c>
      <c r="M116" s="15" t="s">
        <v>31</v>
      </c>
      <c r="N116" s="16" t="str">
        <f>Tabla14[[#This Row],[ABR_02]]</f>
        <v>ER</v>
      </c>
      <c r="O116" t="s">
        <v>32</v>
      </c>
      <c r="P116" t="s">
        <v>33</v>
      </c>
      <c r="Q116" t="s">
        <v>32</v>
      </c>
      <c r="R116" t="s">
        <v>35</v>
      </c>
      <c r="S116" t="str">
        <f>_xlfn.CONCAT(Tabla14[[#This Row],[ABR_01]],"X",Tabla14[[#This Row],[ABR_02]],Tabla14[[#This Row],[ZONA2]],,"X",Tabla14[[#This Row],[PARADA2]])</f>
        <v>ARXER1X01</v>
      </c>
      <c r="T116" t="str">
        <f>Tabla14[[#This Row],[ABR_01]]&amp;Tabla14[[#This Row],[ABR_02]]&amp;Tabla14[[#This Row],[PARADA2]]</f>
        <v>ARER01</v>
      </c>
      <c r="U116" s="37" t="s">
        <v>36</v>
      </c>
      <c r="V116" s="37" t="s">
        <v>36</v>
      </c>
      <c r="W116">
        <f>LEN(Tabla14[[#This Row],[Transport Zone 2]])</f>
        <v>9</v>
      </c>
    </row>
    <row r="117" spans="2:23" ht="16" hidden="1" thickTop="1" x14ac:dyDescent="0.2">
      <c r="B117" s="19" t="s">
        <v>40</v>
      </c>
      <c r="C117" s="8" t="s">
        <v>297</v>
      </c>
      <c r="D117" s="17" t="s">
        <v>297</v>
      </c>
      <c r="E117" s="9" t="s">
        <v>294</v>
      </c>
      <c r="F117" s="10" t="s">
        <v>295</v>
      </c>
      <c r="G117" s="13">
        <v>347</v>
      </c>
      <c r="H117" s="10">
        <v>298</v>
      </c>
      <c r="I117" s="24" t="s">
        <v>27</v>
      </c>
      <c r="J117" s="24" t="s">
        <v>296</v>
      </c>
      <c r="K117" s="25" t="s">
        <v>29</v>
      </c>
      <c r="L117" s="25" t="s">
        <v>46</v>
      </c>
      <c r="M117" s="15" t="s">
        <v>31</v>
      </c>
      <c r="N117" s="16" t="str">
        <f>Tabla14[[#This Row],[ABR_02]]</f>
        <v>ER</v>
      </c>
      <c r="O117" t="s">
        <v>32</v>
      </c>
      <c r="P117" t="s">
        <v>33</v>
      </c>
      <c r="Q117" t="s">
        <v>32</v>
      </c>
      <c r="R117" t="s">
        <v>35</v>
      </c>
      <c r="S117" t="str">
        <f>_xlfn.CONCAT(Tabla14[[#This Row],[ABR_01]],"X",Tabla14[[#This Row],[ABR_02]],Tabla14[[#This Row],[ZONA2]],,"X",Tabla14[[#This Row],[PARADA2]])</f>
        <v>ARXER1X02</v>
      </c>
      <c r="T117" t="str">
        <f>Tabla14[[#This Row],[ABR_01]]&amp;Tabla14[[#This Row],[ABR_02]]&amp;Tabla14[[#This Row],[PARADA2]]</f>
        <v>ARER02</v>
      </c>
      <c r="U117" s="37" t="s">
        <v>36</v>
      </c>
      <c r="V117" s="37" t="s">
        <v>36</v>
      </c>
      <c r="W117">
        <f>LEN(Tabla14[[#This Row],[Transport Zone 2]])</f>
        <v>9</v>
      </c>
    </row>
    <row r="118" spans="2:23" ht="16" hidden="1" thickTop="1" x14ac:dyDescent="0.2">
      <c r="B118" s="19" t="s">
        <v>40</v>
      </c>
      <c r="C118" s="8" t="s">
        <v>298</v>
      </c>
      <c r="D118" s="17" t="s">
        <v>299</v>
      </c>
      <c r="E118" s="9" t="s">
        <v>294</v>
      </c>
      <c r="F118" s="10" t="s">
        <v>295</v>
      </c>
      <c r="G118" s="13">
        <v>347</v>
      </c>
      <c r="H118" s="10">
        <v>293</v>
      </c>
      <c r="I118" s="24" t="s">
        <v>27</v>
      </c>
      <c r="J118" s="24" t="s">
        <v>296</v>
      </c>
      <c r="K118" s="25" t="s">
        <v>29</v>
      </c>
      <c r="L118" s="25" t="s">
        <v>48</v>
      </c>
      <c r="M118" s="15" t="s">
        <v>31</v>
      </c>
      <c r="N118" s="16" t="str">
        <f>Tabla14[[#This Row],[ABR_02]]</f>
        <v>ER</v>
      </c>
      <c r="O118" t="s">
        <v>32</v>
      </c>
      <c r="P118" t="s">
        <v>33</v>
      </c>
      <c r="Q118" t="s">
        <v>32</v>
      </c>
      <c r="R118" t="s">
        <v>35</v>
      </c>
      <c r="S118" t="str">
        <f>_xlfn.CONCAT(Tabla14[[#This Row],[ABR_01]],"X",Tabla14[[#This Row],[ABR_02]],Tabla14[[#This Row],[ZONA2]],,"X",Tabla14[[#This Row],[PARADA2]])</f>
        <v>ARXER1X03</v>
      </c>
      <c r="T118" t="str">
        <f>Tabla14[[#This Row],[ABR_01]]&amp;Tabla14[[#This Row],[ABR_02]]&amp;Tabla14[[#This Row],[PARADA2]]</f>
        <v>ARER03</v>
      </c>
      <c r="U118" s="37" t="s">
        <v>36</v>
      </c>
      <c r="V118" s="37" t="s">
        <v>36</v>
      </c>
      <c r="W118">
        <f>LEN(Tabla14[[#This Row],[Transport Zone 2]])</f>
        <v>9</v>
      </c>
    </row>
    <row r="119" spans="2:23" ht="16" hidden="1" thickTop="1" x14ac:dyDescent="0.2">
      <c r="B119" s="19" t="s">
        <v>40</v>
      </c>
      <c r="C119" s="8" t="s">
        <v>300</v>
      </c>
      <c r="D119" s="12" t="s">
        <v>301</v>
      </c>
      <c r="E119" s="9" t="s">
        <v>294</v>
      </c>
      <c r="F119" s="10" t="s">
        <v>295</v>
      </c>
      <c r="G119" s="13">
        <v>347</v>
      </c>
      <c r="H119" s="10">
        <v>277</v>
      </c>
      <c r="I119" s="24" t="s">
        <v>27</v>
      </c>
      <c r="J119" s="24" t="s">
        <v>296</v>
      </c>
      <c r="K119" s="25" t="s">
        <v>29</v>
      </c>
      <c r="L119" s="25" t="s">
        <v>51</v>
      </c>
      <c r="M119" s="15" t="s">
        <v>31</v>
      </c>
      <c r="N119" s="16" t="str">
        <f>Tabla14[[#This Row],[ABR_02]]</f>
        <v>ER</v>
      </c>
      <c r="O119" t="s">
        <v>32</v>
      </c>
      <c r="P119" t="s">
        <v>33</v>
      </c>
      <c r="Q119" t="s">
        <v>32</v>
      </c>
      <c r="R119" t="s">
        <v>35</v>
      </c>
      <c r="S119" t="str">
        <f>_xlfn.CONCAT(Tabla14[[#This Row],[ABR_01]],"X",Tabla14[[#This Row],[ABR_02]],Tabla14[[#This Row],[ZONA2]],,"X",Tabla14[[#This Row],[PARADA2]])</f>
        <v>ARXER1X04</v>
      </c>
      <c r="T119" t="str">
        <f>Tabla14[[#This Row],[ABR_01]]&amp;Tabla14[[#This Row],[ABR_02]]&amp;Tabla14[[#This Row],[PARADA2]]</f>
        <v>ARER04</v>
      </c>
      <c r="U119" s="37" t="s">
        <v>36</v>
      </c>
      <c r="V119" s="37" t="s">
        <v>36</v>
      </c>
      <c r="W119">
        <f>LEN(Tabla14[[#This Row],[Transport Zone 2]])</f>
        <v>9</v>
      </c>
    </row>
    <row r="120" spans="2:23" ht="16" hidden="1" thickTop="1" x14ac:dyDescent="0.2">
      <c r="B120" s="19" t="s">
        <v>40</v>
      </c>
      <c r="C120" s="8" t="s">
        <v>302</v>
      </c>
      <c r="D120" s="17" t="s">
        <v>302</v>
      </c>
      <c r="E120" s="9" t="s">
        <v>294</v>
      </c>
      <c r="F120" s="10" t="s">
        <v>295</v>
      </c>
      <c r="G120" s="13">
        <v>347</v>
      </c>
      <c r="H120" s="10">
        <v>250</v>
      </c>
      <c r="I120" s="24" t="s">
        <v>27</v>
      </c>
      <c r="J120" s="24" t="s">
        <v>296</v>
      </c>
      <c r="K120" s="25" t="s">
        <v>29</v>
      </c>
      <c r="L120" s="25" t="s">
        <v>65</v>
      </c>
      <c r="M120" s="15" t="s">
        <v>31</v>
      </c>
      <c r="N120" s="16" t="str">
        <f>Tabla14[[#This Row],[ABR_02]]</f>
        <v>ER</v>
      </c>
      <c r="O120" t="s">
        <v>32</v>
      </c>
      <c r="P120" t="s">
        <v>33</v>
      </c>
      <c r="Q120" t="s">
        <v>32</v>
      </c>
      <c r="R120" t="s">
        <v>35</v>
      </c>
      <c r="S120" t="str">
        <f>_xlfn.CONCAT(Tabla14[[#This Row],[ABR_01]],"X",Tabla14[[#This Row],[ABR_02]],Tabla14[[#This Row],[ZONA2]],,"X",Tabla14[[#This Row],[PARADA2]])</f>
        <v>ARXER1X05</v>
      </c>
      <c r="T120" t="str">
        <f>Tabla14[[#This Row],[ABR_01]]&amp;Tabla14[[#This Row],[ABR_02]]&amp;Tabla14[[#This Row],[PARADA2]]</f>
        <v>ARER05</v>
      </c>
      <c r="U120" s="37" t="s">
        <v>36</v>
      </c>
      <c r="V120" s="37" t="s">
        <v>36</v>
      </c>
      <c r="W120">
        <f>LEN(Tabla14[[#This Row],[Transport Zone 2]])</f>
        <v>9</v>
      </c>
    </row>
    <row r="121" spans="2:23" ht="16" hidden="1" thickTop="1" x14ac:dyDescent="0.2">
      <c r="B121" s="19" t="s">
        <v>40</v>
      </c>
      <c r="C121" s="8" t="s">
        <v>303</v>
      </c>
      <c r="D121" s="17" t="s">
        <v>303</v>
      </c>
      <c r="E121" s="9" t="s">
        <v>294</v>
      </c>
      <c r="F121" s="10" t="s">
        <v>295</v>
      </c>
      <c r="G121" s="13">
        <v>347</v>
      </c>
      <c r="H121" s="10">
        <v>245</v>
      </c>
      <c r="I121" s="24" t="s">
        <v>27</v>
      </c>
      <c r="J121" s="24" t="s">
        <v>296</v>
      </c>
      <c r="K121" s="25" t="s">
        <v>29</v>
      </c>
      <c r="L121" s="25" t="s">
        <v>67</v>
      </c>
      <c r="M121" s="15" t="s">
        <v>31</v>
      </c>
      <c r="N121" s="16" t="str">
        <f>Tabla14[[#This Row],[ABR_02]]</f>
        <v>ER</v>
      </c>
      <c r="O121" t="s">
        <v>32</v>
      </c>
      <c r="P121" t="s">
        <v>33</v>
      </c>
      <c r="Q121" t="s">
        <v>32</v>
      </c>
      <c r="R121" t="s">
        <v>35</v>
      </c>
      <c r="S121" t="str">
        <f>_xlfn.CONCAT(Tabla14[[#This Row],[ABR_01]],"X",Tabla14[[#This Row],[ABR_02]],Tabla14[[#This Row],[ZONA2]],,"X",Tabla14[[#This Row],[PARADA2]])</f>
        <v>ARXER1X06</v>
      </c>
      <c r="T121" t="str">
        <f>Tabla14[[#This Row],[ABR_01]]&amp;Tabla14[[#This Row],[ABR_02]]&amp;Tabla14[[#This Row],[PARADA2]]</f>
        <v>ARER06</v>
      </c>
      <c r="U121" s="37" t="s">
        <v>36</v>
      </c>
      <c r="V121" s="37" t="s">
        <v>36</v>
      </c>
      <c r="W121">
        <f>LEN(Tabla14[[#This Row],[Transport Zone 2]])</f>
        <v>9</v>
      </c>
    </row>
    <row r="122" spans="2:23" ht="16" hidden="1" thickTop="1" x14ac:dyDescent="0.2">
      <c r="B122" s="19" t="s">
        <v>40</v>
      </c>
      <c r="C122" s="8" t="s">
        <v>304</v>
      </c>
      <c r="D122" s="17" t="s">
        <v>304</v>
      </c>
      <c r="E122" s="9" t="s">
        <v>294</v>
      </c>
      <c r="F122" s="10" t="s">
        <v>295</v>
      </c>
      <c r="G122" s="13">
        <v>347</v>
      </c>
      <c r="H122" s="10">
        <v>235</v>
      </c>
      <c r="I122" s="24" t="s">
        <v>27</v>
      </c>
      <c r="J122" s="24" t="s">
        <v>296</v>
      </c>
      <c r="K122" s="25" t="s">
        <v>29</v>
      </c>
      <c r="L122" s="25" t="s">
        <v>70</v>
      </c>
      <c r="M122" s="15" t="s">
        <v>31</v>
      </c>
      <c r="N122" s="16" t="str">
        <f>Tabla14[[#This Row],[ABR_02]]</f>
        <v>ER</v>
      </c>
      <c r="O122" t="s">
        <v>32</v>
      </c>
      <c r="P122" t="s">
        <v>33</v>
      </c>
      <c r="Q122" t="s">
        <v>32</v>
      </c>
      <c r="R122" t="s">
        <v>35</v>
      </c>
      <c r="S122" t="str">
        <f>_xlfn.CONCAT(Tabla14[[#This Row],[ABR_01]],"X",Tabla14[[#This Row],[ABR_02]],Tabla14[[#This Row],[ZONA2]],,"X",Tabla14[[#This Row],[PARADA2]])</f>
        <v>ARXER1X07</v>
      </c>
      <c r="T122" t="str">
        <f>Tabla14[[#This Row],[ABR_01]]&amp;Tabla14[[#This Row],[ABR_02]]&amp;Tabla14[[#This Row],[PARADA2]]</f>
        <v>ARER07</v>
      </c>
      <c r="U122" s="37" t="s">
        <v>36</v>
      </c>
      <c r="V122" s="37" t="s">
        <v>36</v>
      </c>
      <c r="W122">
        <f>LEN(Tabla14[[#This Row],[Transport Zone 2]])</f>
        <v>9</v>
      </c>
    </row>
    <row r="123" spans="2:23" ht="16" hidden="1" thickTop="1" x14ac:dyDescent="0.2">
      <c r="B123" s="19" t="s">
        <v>40</v>
      </c>
      <c r="C123" s="8" t="s">
        <v>305</v>
      </c>
      <c r="D123" s="12" t="s">
        <v>306</v>
      </c>
      <c r="E123" s="9" t="s">
        <v>294</v>
      </c>
      <c r="F123" s="10" t="s">
        <v>295</v>
      </c>
      <c r="G123" s="13">
        <v>347</v>
      </c>
      <c r="H123" s="10">
        <v>230</v>
      </c>
      <c r="I123" s="24" t="s">
        <v>27</v>
      </c>
      <c r="J123" s="24" t="s">
        <v>296</v>
      </c>
      <c r="K123" s="25" t="s">
        <v>29</v>
      </c>
      <c r="L123" s="25" t="s">
        <v>73</v>
      </c>
      <c r="M123" s="15" t="s">
        <v>31</v>
      </c>
      <c r="N123" s="16" t="str">
        <f>Tabla14[[#This Row],[ABR_02]]</f>
        <v>ER</v>
      </c>
      <c r="O123" t="s">
        <v>32</v>
      </c>
      <c r="P123" t="s">
        <v>33</v>
      </c>
      <c r="Q123" t="s">
        <v>32</v>
      </c>
      <c r="R123" t="s">
        <v>35</v>
      </c>
      <c r="S123" t="str">
        <f>_xlfn.CONCAT(Tabla14[[#This Row],[ABR_01]],"X",Tabla14[[#This Row],[ABR_02]],Tabla14[[#This Row],[ZONA2]],,"X",Tabla14[[#This Row],[PARADA2]])</f>
        <v>ARXER1X08</v>
      </c>
      <c r="T123" t="str">
        <f>Tabla14[[#This Row],[ABR_01]]&amp;Tabla14[[#This Row],[ABR_02]]&amp;Tabla14[[#This Row],[PARADA2]]</f>
        <v>ARER08</v>
      </c>
      <c r="U123" s="37" t="s">
        <v>36</v>
      </c>
      <c r="V123" s="37" t="s">
        <v>36</v>
      </c>
      <c r="W123">
        <f>LEN(Tabla14[[#This Row],[Transport Zone 2]])</f>
        <v>9</v>
      </c>
    </row>
    <row r="124" spans="2:23" ht="16" hidden="1" thickTop="1" x14ac:dyDescent="0.2">
      <c r="B124" s="19" t="s">
        <v>40</v>
      </c>
      <c r="C124" s="8" t="s">
        <v>307</v>
      </c>
      <c r="D124" s="17" t="s">
        <v>307</v>
      </c>
      <c r="E124" s="9" t="s">
        <v>294</v>
      </c>
      <c r="F124" s="10" t="s">
        <v>295</v>
      </c>
      <c r="G124" s="13">
        <v>347</v>
      </c>
      <c r="H124" s="10">
        <v>267</v>
      </c>
      <c r="I124" s="24" t="s">
        <v>27</v>
      </c>
      <c r="J124" s="24" t="s">
        <v>296</v>
      </c>
      <c r="K124" s="25" t="s">
        <v>29</v>
      </c>
      <c r="L124" s="25" t="s">
        <v>125</v>
      </c>
      <c r="M124" s="15" t="s">
        <v>31</v>
      </c>
      <c r="N124" s="16" t="str">
        <f>Tabla14[[#This Row],[ABR_02]]</f>
        <v>ER</v>
      </c>
      <c r="O124" t="s">
        <v>32</v>
      </c>
      <c r="P124" t="s">
        <v>33</v>
      </c>
      <c r="Q124" t="s">
        <v>32</v>
      </c>
      <c r="R124" t="s">
        <v>35</v>
      </c>
      <c r="S124" t="str">
        <f>_xlfn.CONCAT(Tabla14[[#This Row],[ABR_01]],"X",Tabla14[[#This Row],[ABR_02]],Tabla14[[#This Row],[ZONA2]],,"X",Tabla14[[#This Row],[PARADA2]])</f>
        <v>ARXER1X09</v>
      </c>
      <c r="T124" t="str">
        <f>Tabla14[[#This Row],[ABR_01]]&amp;Tabla14[[#This Row],[ABR_02]]&amp;Tabla14[[#This Row],[PARADA2]]</f>
        <v>ARER09</v>
      </c>
      <c r="U124" s="37" t="s">
        <v>36</v>
      </c>
      <c r="V124" s="37" t="s">
        <v>36</v>
      </c>
      <c r="W124">
        <f>LEN(Tabla14[[#This Row],[Transport Zone 2]])</f>
        <v>9</v>
      </c>
    </row>
    <row r="125" spans="2:23" ht="16" hidden="1" thickTop="1" x14ac:dyDescent="0.2">
      <c r="B125" s="19" t="s">
        <v>40</v>
      </c>
      <c r="C125" s="8" t="s">
        <v>308</v>
      </c>
      <c r="D125" s="17" t="s">
        <v>308</v>
      </c>
      <c r="E125" s="9" t="s">
        <v>294</v>
      </c>
      <c r="F125" s="10" t="s">
        <v>295</v>
      </c>
      <c r="G125" s="13">
        <v>347</v>
      </c>
      <c r="H125" s="10">
        <v>343</v>
      </c>
      <c r="I125" s="24" t="s">
        <v>27</v>
      </c>
      <c r="J125" s="24" t="s">
        <v>296</v>
      </c>
      <c r="K125" s="25" t="s">
        <v>29</v>
      </c>
      <c r="L125" s="25" t="s">
        <v>128</v>
      </c>
      <c r="M125" s="15" t="s">
        <v>31</v>
      </c>
      <c r="N125" s="16" t="str">
        <f>Tabla14[[#This Row],[ABR_02]]</f>
        <v>ER</v>
      </c>
      <c r="O125" t="s">
        <v>32</v>
      </c>
      <c r="P125" t="s">
        <v>33</v>
      </c>
      <c r="Q125" t="s">
        <v>32</v>
      </c>
      <c r="R125" t="s">
        <v>35</v>
      </c>
      <c r="S125" t="str">
        <f>_xlfn.CONCAT(Tabla14[[#This Row],[ABR_01]],"X",Tabla14[[#This Row],[ABR_02]],Tabla14[[#This Row],[ZONA2]],,"X",Tabla14[[#This Row],[PARADA2]])</f>
        <v>ARXER1X10</v>
      </c>
      <c r="T125" t="str">
        <f>Tabla14[[#This Row],[ABR_01]]&amp;Tabla14[[#This Row],[ABR_02]]&amp;Tabla14[[#This Row],[PARADA2]]</f>
        <v>ARER10</v>
      </c>
      <c r="U125" s="37" t="s">
        <v>36</v>
      </c>
      <c r="V125" s="37" t="s">
        <v>36</v>
      </c>
      <c r="W125">
        <f>LEN(Tabla14[[#This Row],[Transport Zone 2]])</f>
        <v>9</v>
      </c>
    </row>
    <row r="126" spans="2:23" ht="16" hidden="1" thickTop="1" x14ac:dyDescent="0.2">
      <c r="B126" s="19" t="s">
        <v>40</v>
      </c>
      <c r="C126" s="8" t="s">
        <v>309</v>
      </c>
      <c r="D126" s="17" t="s">
        <v>309</v>
      </c>
      <c r="E126" s="9" t="s">
        <v>294</v>
      </c>
      <c r="F126" s="10" t="s">
        <v>295</v>
      </c>
      <c r="G126" s="13">
        <v>347</v>
      </c>
      <c r="H126" s="10">
        <v>255</v>
      </c>
      <c r="I126" s="24" t="s">
        <v>27</v>
      </c>
      <c r="J126" s="24" t="s">
        <v>296</v>
      </c>
      <c r="K126" s="25" t="s">
        <v>29</v>
      </c>
      <c r="L126" s="25" t="s">
        <v>130</v>
      </c>
      <c r="M126" s="15" t="s">
        <v>31</v>
      </c>
      <c r="N126" s="16" t="str">
        <f>Tabla14[[#This Row],[ABR_02]]</f>
        <v>ER</v>
      </c>
      <c r="O126" t="s">
        <v>32</v>
      </c>
      <c r="P126" t="s">
        <v>33</v>
      </c>
      <c r="Q126" t="s">
        <v>32</v>
      </c>
      <c r="R126" t="s">
        <v>35</v>
      </c>
      <c r="S126" t="str">
        <f>_xlfn.CONCAT(Tabla14[[#This Row],[ABR_01]],"X",Tabla14[[#This Row],[ABR_02]],Tabla14[[#This Row],[ZONA2]],,"X",Tabla14[[#This Row],[PARADA2]])</f>
        <v>ARXER1X11</v>
      </c>
      <c r="T126" t="str">
        <f>Tabla14[[#This Row],[ABR_01]]&amp;Tabla14[[#This Row],[ABR_02]]&amp;Tabla14[[#This Row],[PARADA2]]</f>
        <v>ARER11</v>
      </c>
      <c r="U126" s="37" t="s">
        <v>36</v>
      </c>
      <c r="V126" s="37" t="s">
        <v>36</v>
      </c>
      <c r="W126">
        <f>LEN(Tabla14[[#This Row],[Transport Zone 2]])</f>
        <v>9</v>
      </c>
    </row>
    <row r="127" spans="2:23" ht="16" hidden="1" thickTop="1" x14ac:dyDescent="0.2">
      <c r="B127" s="19" t="s">
        <v>40</v>
      </c>
      <c r="C127" s="8" t="s">
        <v>310</v>
      </c>
      <c r="D127" s="17" t="s">
        <v>310</v>
      </c>
      <c r="E127" s="9" t="s">
        <v>294</v>
      </c>
      <c r="F127" s="10" t="s">
        <v>295</v>
      </c>
      <c r="G127" s="13">
        <v>347</v>
      </c>
      <c r="H127" s="10">
        <v>268</v>
      </c>
      <c r="I127" s="24" t="s">
        <v>27</v>
      </c>
      <c r="J127" s="24" t="s">
        <v>296</v>
      </c>
      <c r="K127" s="25" t="s">
        <v>29</v>
      </c>
      <c r="L127" s="25" t="s">
        <v>132</v>
      </c>
      <c r="M127" s="15" t="s">
        <v>31</v>
      </c>
      <c r="N127" s="16" t="str">
        <f>Tabla14[[#This Row],[ABR_02]]</f>
        <v>ER</v>
      </c>
      <c r="O127" t="s">
        <v>32</v>
      </c>
      <c r="P127" t="s">
        <v>33</v>
      </c>
      <c r="Q127" t="s">
        <v>32</v>
      </c>
      <c r="R127" t="s">
        <v>35</v>
      </c>
      <c r="S127" t="str">
        <f>_xlfn.CONCAT(Tabla14[[#This Row],[ABR_01]],"X",Tabla14[[#This Row],[ABR_02]],Tabla14[[#This Row],[ZONA2]],,"X",Tabla14[[#This Row],[PARADA2]])</f>
        <v>ARXER1X12</v>
      </c>
      <c r="T127" t="str">
        <f>Tabla14[[#This Row],[ABR_01]]&amp;Tabla14[[#This Row],[ABR_02]]&amp;Tabla14[[#This Row],[PARADA2]]</f>
        <v>ARER12</v>
      </c>
      <c r="U127" s="37" t="s">
        <v>36</v>
      </c>
      <c r="V127" s="37" t="s">
        <v>36</v>
      </c>
      <c r="W127">
        <f>LEN(Tabla14[[#This Row],[Transport Zone 2]])</f>
        <v>9</v>
      </c>
    </row>
    <row r="128" spans="2:23" ht="16" hidden="1" thickTop="1" x14ac:dyDescent="0.2">
      <c r="B128" s="19" t="s">
        <v>40</v>
      </c>
      <c r="C128" s="8" t="s">
        <v>311</v>
      </c>
      <c r="D128" s="17" t="s">
        <v>311</v>
      </c>
      <c r="E128" s="9" t="s">
        <v>294</v>
      </c>
      <c r="F128" s="10" t="s">
        <v>295</v>
      </c>
      <c r="G128" s="13">
        <v>347</v>
      </c>
      <c r="H128" s="10">
        <v>260</v>
      </c>
      <c r="I128" s="24" t="s">
        <v>27</v>
      </c>
      <c r="J128" s="24" t="s">
        <v>296</v>
      </c>
      <c r="K128" s="25" t="s">
        <v>29</v>
      </c>
      <c r="L128" s="25" t="s">
        <v>134</v>
      </c>
      <c r="M128" s="15" t="s">
        <v>31</v>
      </c>
      <c r="N128" s="16" t="str">
        <f>Tabla14[[#This Row],[ABR_02]]</f>
        <v>ER</v>
      </c>
      <c r="O128" t="s">
        <v>32</v>
      </c>
      <c r="P128" t="s">
        <v>33</v>
      </c>
      <c r="Q128" t="s">
        <v>32</v>
      </c>
      <c r="R128" t="s">
        <v>35</v>
      </c>
      <c r="S128" t="str">
        <f>_xlfn.CONCAT(Tabla14[[#This Row],[ABR_01]],"X",Tabla14[[#This Row],[ABR_02]],Tabla14[[#This Row],[ZONA2]],,"X",Tabla14[[#This Row],[PARADA2]])</f>
        <v>ARXER1X13</v>
      </c>
      <c r="T128" t="str">
        <f>Tabla14[[#This Row],[ABR_01]]&amp;Tabla14[[#This Row],[ABR_02]]&amp;Tabla14[[#This Row],[PARADA2]]</f>
        <v>ARER13</v>
      </c>
      <c r="U128" s="37" t="s">
        <v>36</v>
      </c>
      <c r="V128" s="37" t="s">
        <v>36</v>
      </c>
      <c r="W128">
        <f>LEN(Tabla14[[#This Row],[Transport Zone 2]])</f>
        <v>9</v>
      </c>
    </row>
    <row r="129" spans="2:23" ht="16" hidden="1" thickTop="1" x14ac:dyDescent="0.2">
      <c r="B129" s="19" t="s">
        <v>40</v>
      </c>
      <c r="C129" s="8" t="s">
        <v>312</v>
      </c>
      <c r="D129" s="17" t="s">
        <v>312</v>
      </c>
      <c r="E129" s="9" t="s">
        <v>294</v>
      </c>
      <c r="F129" s="10" t="s">
        <v>295</v>
      </c>
      <c r="G129" s="13">
        <v>347</v>
      </c>
      <c r="H129" s="10">
        <v>290</v>
      </c>
      <c r="I129" s="24" t="s">
        <v>27</v>
      </c>
      <c r="J129" s="24" t="s">
        <v>296</v>
      </c>
      <c r="K129" s="25" t="s">
        <v>29</v>
      </c>
      <c r="L129" s="25" t="s">
        <v>137</v>
      </c>
      <c r="M129" s="15" t="s">
        <v>31</v>
      </c>
      <c r="N129" s="16" t="str">
        <f>Tabla14[[#This Row],[ABR_02]]</f>
        <v>ER</v>
      </c>
      <c r="O129" t="s">
        <v>32</v>
      </c>
      <c r="P129" t="s">
        <v>33</v>
      </c>
      <c r="Q129" t="s">
        <v>32</v>
      </c>
      <c r="R129" t="s">
        <v>35</v>
      </c>
      <c r="S129" t="str">
        <f>_xlfn.CONCAT(Tabla14[[#This Row],[ABR_01]],"X",Tabla14[[#This Row],[ABR_02]],Tabla14[[#This Row],[ZONA2]],,"X",Tabla14[[#This Row],[PARADA2]])</f>
        <v>ARXER1X14</v>
      </c>
      <c r="T129" t="str">
        <f>Tabla14[[#This Row],[ABR_01]]&amp;Tabla14[[#This Row],[ABR_02]]&amp;Tabla14[[#This Row],[PARADA2]]</f>
        <v>ARER14</v>
      </c>
      <c r="U129" s="37" t="s">
        <v>36</v>
      </c>
      <c r="V129" s="37" t="s">
        <v>36</v>
      </c>
      <c r="W129">
        <f>LEN(Tabla14[[#This Row],[Transport Zone 2]])</f>
        <v>9</v>
      </c>
    </row>
    <row r="130" spans="2:23" ht="16" hidden="1" thickTop="1" x14ac:dyDescent="0.2">
      <c r="B130" s="19" t="s">
        <v>40</v>
      </c>
      <c r="C130" s="8" t="s">
        <v>313</v>
      </c>
      <c r="D130" s="12" t="s">
        <v>314</v>
      </c>
      <c r="E130" s="9" t="s">
        <v>294</v>
      </c>
      <c r="F130" s="10" t="s">
        <v>109</v>
      </c>
      <c r="G130" s="13">
        <v>342</v>
      </c>
      <c r="H130" s="10">
        <v>240</v>
      </c>
      <c r="I130" s="24" t="s">
        <v>27</v>
      </c>
      <c r="J130" s="24" t="s">
        <v>296</v>
      </c>
      <c r="K130" s="25" t="s">
        <v>29</v>
      </c>
      <c r="L130" s="25" t="s">
        <v>140</v>
      </c>
      <c r="M130" s="15" t="s">
        <v>31</v>
      </c>
      <c r="N130" s="16" t="str">
        <f>Tabla14[[#This Row],[ABR_02]]</f>
        <v>ER</v>
      </c>
      <c r="O130" t="s">
        <v>32</v>
      </c>
      <c r="P130" t="s">
        <v>33</v>
      </c>
      <c r="Q130" t="s">
        <v>32</v>
      </c>
      <c r="R130" t="s">
        <v>35</v>
      </c>
      <c r="S130" t="str">
        <f>_xlfn.CONCAT(Tabla14[[#This Row],[ABR_01]],"X",Tabla14[[#This Row],[ABR_02]],Tabla14[[#This Row],[ZONA2]],,"X",Tabla14[[#This Row],[PARADA2]])</f>
        <v>ARXER1X15</v>
      </c>
      <c r="T130" t="str">
        <f>Tabla14[[#This Row],[ABR_01]]&amp;Tabla14[[#This Row],[ABR_02]]&amp;Tabla14[[#This Row],[PARADA2]]</f>
        <v>ARER15</v>
      </c>
      <c r="U130" s="37" t="s">
        <v>36</v>
      </c>
      <c r="V130" s="37" t="s">
        <v>36</v>
      </c>
      <c r="W130">
        <f>LEN(Tabla14[[#This Row],[Transport Zone 2]])</f>
        <v>9</v>
      </c>
    </row>
    <row r="131" spans="2:23" ht="16" hidden="1" thickTop="1" x14ac:dyDescent="0.2">
      <c r="B131" s="19" t="s">
        <v>40</v>
      </c>
      <c r="C131" s="8" t="s">
        <v>315</v>
      </c>
      <c r="D131" s="12" t="s">
        <v>316</v>
      </c>
      <c r="E131" s="9" t="s">
        <v>317</v>
      </c>
      <c r="F131" s="10" t="s">
        <v>77</v>
      </c>
      <c r="G131" s="13">
        <v>361</v>
      </c>
      <c r="H131" s="10">
        <v>330</v>
      </c>
      <c r="I131" s="24" t="s">
        <v>27</v>
      </c>
      <c r="J131" s="24" t="s">
        <v>318</v>
      </c>
      <c r="K131" s="25" t="s">
        <v>29</v>
      </c>
      <c r="L131" s="25" t="s">
        <v>30</v>
      </c>
      <c r="M131" s="15" t="s">
        <v>31</v>
      </c>
      <c r="N131" s="16" t="str">
        <f>Tabla14[[#This Row],[ABR_02]]</f>
        <v>CR</v>
      </c>
      <c r="O131" t="s">
        <v>32</v>
      </c>
      <c r="P131" t="s">
        <v>33</v>
      </c>
      <c r="Q131" t="s">
        <v>57</v>
      </c>
      <c r="R131" t="s">
        <v>35</v>
      </c>
      <c r="S131" t="str">
        <f>_xlfn.CONCAT(Tabla14[[#This Row],[ABR_01]],"X",Tabla14[[#This Row],[ABR_02]],Tabla14[[#This Row],[ZONA2]],,"X",Tabla14[[#This Row],[PARADA2]])</f>
        <v>ARXCR1X01</v>
      </c>
      <c r="T131" t="str">
        <f>Tabla14[[#This Row],[ABR_01]]&amp;Tabla14[[#This Row],[ABR_02]]&amp;Tabla14[[#This Row],[PARADA2]]</f>
        <v>ARCR01</v>
      </c>
      <c r="U131" s="37" t="s">
        <v>36</v>
      </c>
      <c r="V131" s="37" t="s">
        <v>36</v>
      </c>
      <c r="W131">
        <f>LEN(Tabla14[[#This Row],[Transport Zone 2]])</f>
        <v>9</v>
      </c>
    </row>
    <row r="132" spans="2:23" ht="16" hidden="1" thickTop="1" x14ac:dyDescent="0.2">
      <c r="B132" s="19" t="s">
        <v>40</v>
      </c>
      <c r="C132" s="8" t="s">
        <v>319</v>
      </c>
      <c r="D132" s="17" t="s">
        <v>319</v>
      </c>
      <c r="E132" s="9" t="s">
        <v>317</v>
      </c>
      <c r="F132" s="10" t="s">
        <v>77</v>
      </c>
      <c r="G132" s="13">
        <v>361</v>
      </c>
      <c r="H132" s="10">
        <v>335</v>
      </c>
      <c r="I132" s="24" t="s">
        <v>27</v>
      </c>
      <c r="J132" s="24" t="s">
        <v>318</v>
      </c>
      <c r="K132" s="25" t="s">
        <v>29</v>
      </c>
      <c r="L132" s="25" t="s">
        <v>46</v>
      </c>
      <c r="M132" s="15" t="s">
        <v>31</v>
      </c>
      <c r="N132" s="16" t="str">
        <f>Tabla14[[#This Row],[ABR_02]]</f>
        <v>CR</v>
      </c>
      <c r="O132" t="s">
        <v>32</v>
      </c>
      <c r="P132" t="s">
        <v>33</v>
      </c>
      <c r="Q132" t="s">
        <v>57</v>
      </c>
      <c r="R132" t="s">
        <v>35</v>
      </c>
      <c r="S132" t="str">
        <f>_xlfn.CONCAT(Tabla14[[#This Row],[ABR_01]],"X",Tabla14[[#This Row],[ABR_02]],Tabla14[[#This Row],[ZONA2]],,"X",Tabla14[[#This Row],[PARADA2]])</f>
        <v>ARXCR1X02</v>
      </c>
      <c r="T132" t="str">
        <f>Tabla14[[#This Row],[ABR_01]]&amp;Tabla14[[#This Row],[ABR_02]]&amp;Tabla14[[#This Row],[PARADA2]]</f>
        <v>ARCR02</v>
      </c>
      <c r="U132" s="37" t="s">
        <v>36</v>
      </c>
      <c r="V132" s="37" t="s">
        <v>36</v>
      </c>
      <c r="W132">
        <f>LEN(Tabla14[[#This Row],[Transport Zone 2]])</f>
        <v>9</v>
      </c>
    </row>
    <row r="133" spans="2:23" ht="16" hidden="1" thickTop="1" x14ac:dyDescent="0.2">
      <c r="B133" s="19" t="s">
        <v>40</v>
      </c>
      <c r="C133" s="8" t="s">
        <v>320</v>
      </c>
      <c r="D133" s="17" t="s">
        <v>321</v>
      </c>
      <c r="E133" s="9" t="s">
        <v>317</v>
      </c>
      <c r="F133" s="10" t="s">
        <v>77</v>
      </c>
      <c r="G133" s="13">
        <v>361</v>
      </c>
      <c r="H133" s="10">
        <v>285</v>
      </c>
      <c r="I133" s="24" t="s">
        <v>27</v>
      </c>
      <c r="J133" s="24" t="s">
        <v>318</v>
      </c>
      <c r="K133" s="25" t="s">
        <v>29</v>
      </c>
      <c r="L133" s="25" t="s">
        <v>48</v>
      </c>
      <c r="M133" s="15" t="s">
        <v>31</v>
      </c>
      <c r="N133" s="16" t="str">
        <f>Tabla14[[#This Row],[ABR_02]]</f>
        <v>CR</v>
      </c>
      <c r="O133" t="s">
        <v>32</v>
      </c>
      <c r="P133" t="s">
        <v>33</v>
      </c>
      <c r="Q133" t="s">
        <v>57</v>
      </c>
      <c r="R133" t="s">
        <v>35</v>
      </c>
      <c r="S133" t="str">
        <f>_xlfn.CONCAT(Tabla14[[#This Row],[ABR_01]],"X",Tabla14[[#This Row],[ABR_02]],Tabla14[[#This Row],[ZONA2]],,"X",Tabla14[[#This Row],[PARADA2]])</f>
        <v>ARXCR1X03</v>
      </c>
      <c r="T133" t="str">
        <f>Tabla14[[#This Row],[ABR_01]]&amp;Tabla14[[#This Row],[ABR_02]]&amp;Tabla14[[#This Row],[PARADA2]]</f>
        <v>ARCR03</v>
      </c>
      <c r="U133" s="37" t="s">
        <v>36</v>
      </c>
      <c r="V133" s="37" t="s">
        <v>36</v>
      </c>
      <c r="W133">
        <f>LEN(Tabla14[[#This Row],[Transport Zone 2]])</f>
        <v>9</v>
      </c>
    </row>
    <row r="134" spans="2:23" ht="16" hidden="1" thickTop="1" x14ac:dyDescent="0.2">
      <c r="B134" s="19" t="s">
        <v>40</v>
      </c>
      <c r="C134" s="8" t="s">
        <v>322</v>
      </c>
      <c r="D134" s="8" t="s">
        <v>323</v>
      </c>
      <c r="E134" s="9" t="s">
        <v>324</v>
      </c>
      <c r="F134" s="10" t="s">
        <v>265</v>
      </c>
      <c r="G134" s="13">
        <v>351</v>
      </c>
      <c r="H134" s="10">
        <v>607</v>
      </c>
      <c r="I134" s="24" t="s">
        <v>27</v>
      </c>
      <c r="J134" s="24" t="s">
        <v>325</v>
      </c>
      <c r="K134" s="25" t="s">
        <v>29</v>
      </c>
      <c r="L134" s="25" t="s">
        <v>30</v>
      </c>
      <c r="M134" s="15" t="s">
        <v>31</v>
      </c>
      <c r="N134" s="16" t="str">
        <f>Tabla14[[#This Row],[ABR_02]]</f>
        <v>CB</v>
      </c>
      <c r="O134" t="s">
        <v>32</v>
      </c>
      <c r="P134" t="s">
        <v>33</v>
      </c>
      <c r="Q134" t="s">
        <v>32</v>
      </c>
      <c r="R134" t="s">
        <v>35</v>
      </c>
      <c r="S134" t="str">
        <f>_xlfn.CONCAT(Tabla14[[#This Row],[ABR_01]],"X",Tabla14[[#This Row],[ABR_02]],Tabla14[[#This Row],[ZONA2]],,"X",Tabla14[[#This Row],[PARADA2]])</f>
        <v>ARXCB1X01</v>
      </c>
      <c r="T134" t="str">
        <f>Tabla14[[#This Row],[ABR_01]]&amp;Tabla14[[#This Row],[ABR_02]]&amp;Tabla14[[#This Row],[PARADA2]]</f>
        <v>ARCB01</v>
      </c>
      <c r="U134" s="37" t="s">
        <v>36</v>
      </c>
      <c r="V134" s="37" t="s">
        <v>36</v>
      </c>
      <c r="W134">
        <f>LEN(Tabla14[[#This Row],[Transport Zone 2]])</f>
        <v>9</v>
      </c>
    </row>
    <row r="135" spans="2:23" ht="16" hidden="1" thickTop="1" x14ac:dyDescent="0.2">
      <c r="B135" s="19" t="s">
        <v>40</v>
      </c>
      <c r="C135" s="8" t="s">
        <v>326</v>
      </c>
      <c r="D135" s="8" t="s">
        <v>326</v>
      </c>
      <c r="E135" s="9" t="s">
        <v>324</v>
      </c>
      <c r="F135" s="10" t="s">
        <v>265</v>
      </c>
      <c r="G135" s="13">
        <v>351</v>
      </c>
      <c r="H135" s="10">
        <v>635</v>
      </c>
      <c r="I135" s="24" t="s">
        <v>27</v>
      </c>
      <c r="J135" s="24" t="s">
        <v>325</v>
      </c>
      <c r="K135" s="25" t="s">
        <v>29</v>
      </c>
      <c r="L135" s="25" t="s">
        <v>46</v>
      </c>
      <c r="M135" s="15" t="s">
        <v>31</v>
      </c>
      <c r="N135" s="16" t="str">
        <f>Tabla14[[#This Row],[ABR_02]]</f>
        <v>CB</v>
      </c>
      <c r="O135" t="s">
        <v>32</v>
      </c>
      <c r="P135" t="s">
        <v>33</v>
      </c>
      <c r="Q135" t="s">
        <v>32</v>
      </c>
      <c r="R135" t="s">
        <v>35</v>
      </c>
      <c r="S135" t="str">
        <f>_xlfn.CONCAT(Tabla14[[#This Row],[ABR_01]],"X",Tabla14[[#This Row],[ABR_02]],Tabla14[[#This Row],[ZONA2]],,"X",Tabla14[[#This Row],[PARADA2]])</f>
        <v>ARXCB1X02</v>
      </c>
      <c r="T135" t="str">
        <f>Tabla14[[#This Row],[ABR_01]]&amp;Tabla14[[#This Row],[ABR_02]]&amp;Tabla14[[#This Row],[PARADA2]]</f>
        <v>ARCB02</v>
      </c>
      <c r="U135" s="37" t="s">
        <v>36</v>
      </c>
      <c r="V135" s="37" t="s">
        <v>36</v>
      </c>
      <c r="W135">
        <f>LEN(Tabla14[[#This Row],[Transport Zone 2]])</f>
        <v>9</v>
      </c>
    </row>
    <row r="136" spans="2:23" ht="16" hidden="1" thickTop="1" x14ac:dyDescent="0.2">
      <c r="B136" s="19" t="s">
        <v>40</v>
      </c>
      <c r="C136" s="8" t="s">
        <v>327</v>
      </c>
      <c r="D136" s="8" t="s">
        <v>327</v>
      </c>
      <c r="E136" s="9" t="s">
        <v>324</v>
      </c>
      <c r="F136" s="10" t="s">
        <v>265</v>
      </c>
      <c r="G136" s="13">
        <v>351</v>
      </c>
      <c r="H136" s="10">
        <v>725</v>
      </c>
      <c r="I136" s="24" t="s">
        <v>27</v>
      </c>
      <c r="J136" s="24" t="s">
        <v>325</v>
      </c>
      <c r="K136" s="25" t="s">
        <v>29</v>
      </c>
      <c r="L136" s="25" t="s">
        <v>48</v>
      </c>
      <c r="M136" s="15" t="s">
        <v>31</v>
      </c>
      <c r="N136" s="16" t="str">
        <f>Tabla14[[#This Row],[ABR_02]]</f>
        <v>CB</v>
      </c>
      <c r="O136" t="s">
        <v>32</v>
      </c>
      <c r="P136" t="s">
        <v>33</v>
      </c>
      <c r="Q136" t="s">
        <v>32</v>
      </c>
      <c r="R136" t="s">
        <v>35</v>
      </c>
      <c r="S136" t="str">
        <f>_xlfn.CONCAT(Tabla14[[#This Row],[ABR_01]],"X",Tabla14[[#This Row],[ABR_02]],Tabla14[[#This Row],[ZONA2]],,"X",Tabla14[[#This Row],[PARADA2]])</f>
        <v>ARXCB1X03</v>
      </c>
      <c r="T136" t="str">
        <f>Tabla14[[#This Row],[ABR_01]]&amp;Tabla14[[#This Row],[ABR_02]]&amp;Tabla14[[#This Row],[PARADA2]]</f>
        <v>ARCB03</v>
      </c>
      <c r="U136" s="37" t="s">
        <v>36</v>
      </c>
      <c r="V136" s="37" t="s">
        <v>36</v>
      </c>
      <c r="W136">
        <f>LEN(Tabla14[[#This Row],[Transport Zone 2]])</f>
        <v>9</v>
      </c>
    </row>
    <row r="137" spans="2:23" ht="16" hidden="1" thickTop="1" x14ac:dyDescent="0.2">
      <c r="B137" s="19" t="s">
        <v>40</v>
      </c>
      <c r="C137" s="8" t="s">
        <v>328</v>
      </c>
      <c r="D137" s="8" t="s">
        <v>328</v>
      </c>
      <c r="E137" s="9" t="s">
        <v>324</v>
      </c>
      <c r="F137" s="10" t="s">
        <v>265</v>
      </c>
      <c r="G137" s="13">
        <v>351</v>
      </c>
      <c r="H137" s="10">
        <v>627</v>
      </c>
      <c r="I137" s="24" t="s">
        <v>27</v>
      </c>
      <c r="J137" s="24" t="s">
        <v>325</v>
      </c>
      <c r="K137" s="25" t="s">
        <v>29</v>
      </c>
      <c r="L137" s="25" t="s">
        <v>51</v>
      </c>
      <c r="M137" s="15" t="s">
        <v>31</v>
      </c>
      <c r="N137" s="16" t="str">
        <f>Tabla14[[#This Row],[ABR_02]]</f>
        <v>CB</v>
      </c>
      <c r="O137" t="s">
        <v>32</v>
      </c>
      <c r="P137" t="s">
        <v>33</v>
      </c>
      <c r="Q137" t="s">
        <v>32</v>
      </c>
      <c r="R137" t="s">
        <v>35</v>
      </c>
      <c r="S137" t="str">
        <f>_xlfn.CONCAT(Tabla14[[#This Row],[ABR_01]],"X",Tabla14[[#This Row],[ABR_02]],Tabla14[[#This Row],[ZONA2]],,"X",Tabla14[[#This Row],[PARADA2]])</f>
        <v>ARXCB1X04</v>
      </c>
      <c r="T137" t="str">
        <f>Tabla14[[#This Row],[ABR_01]]&amp;Tabla14[[#This Row],[ABR_02]]&amp;Tabla14[[#This Row],[PARADA2]]</f>
        <v>ARCB04</v>
      </c>
      <c r="U137" s="37" t="s">
        <v>36</v>
      </c>
      <c r="V137" s="37" t="s">
        <v>36</v>
      </c>
      <c r="W137">
        <f>LEN(Tabla14[[#This Row],[Transport Zone 2]])</f>
        <v>9</v>
      </c>
    </row>
    <row r="138" spans="2:23" ht="16" hidden="1" thickTop="1" x14ac:dyDescent="0.2">
      <c r="B138" s="19" t="s">
        <v>40</v>
      </c>
      <c r="C138" s="56" t="s">
        <v>329</v>
      </c>
      <c r="D138" s="56" t="s">
        <v>329</v>
      </c>
      <c r="E138" s="9" t="s">
        <v>324</v>
      </c>
      <c r="F138" s="10" t="s">
        <v>265</v>
      </c>
      <c r="G138" s="13">
        <v>351</v>
      </c>
      <c r="H138" s="10">
        <v>628</v>
      </c>
      <c r="I138" s="24" t="s">
        <v>27</v>
      </c>
      <c r="J138" s="24" t="s">
        <v>325</v>
      </c>
      <c r="K138" s="25" t="s">
        <v>29</v>
      </c>
      <c r="L138" s="25" t="s">
        <v>65</v>
      </c>
      <c r="M138" s="15" t="s">
        <v>31</v>
      </c>
      <c r="N138" s="16" t="str">
        <f>Tabla14[[#This Row],[ABR_02]]</f>
        <v>CB</v>
      </c>
      <c r="O138" t="s">
        <v>32</v>
      </c>
      <c r="P138" t="s">
        <v>33</v>
      </c>
      <c r="Q138" t="s">
        <v>32</v>
      </c>
      <c r="R138" t="s">
        <v>35</v>
      </c>
      <c r="S138" s="29" t="str">
        <f>_xlfn.CONCAT(Tabla14[[#This Row],[ABR_01]],"X",Tabla14[[#This Row],[ABR_02]],Tabla14[[#This Row],[ZONA2]],,"X",Tabla14[[#This Row],[PARADA2]])</f>
        <v>ARXCB1X05</v>
      </c>
      <c r="T138" t="str">
        <f>Tabla14[[#This Row],[ABR_01]]&amp;Tabla14[[#This Row],[ABR_02]]&amp;Tabla14[[#This Row],[PARADA2]]</f>
        <v>ARCB05</v>
      </c>
      <c r="U138" s="37" t="s">
        <v>36</v>
      </c>
      <c r="V138" s="37" t="s">
        <v>36</v>
      </c>
      <c r="W138">
        <f>LEN(Tabla14[[#This Row],[Transport Zone 2]])</f>
        <v>9</v>
      </c>
    </row>
    <row r="139" spans="2:23" ht="16" hidden="1" thickTop="1" x14ac:dyDescent="0.2">
      <c r="B139" s="19" t="s">
        <v>40</v>
      </c>
      <c r="C139" s="8" t="s">
        <v>330</v>
      </c>
      <c r="D139" s="8" t="s">
        <v>331</v>
      </c>
      <c r="E139" s="9" t="s">
        <v>324</v>
      </c>
      <c r="F139" s="10" t="s">
        <v>265</v>
      </c>
      <c r="G139" s="13">
        <v>351</v>
      </c>
      <c r="H139" s="10">
        <v>605</v>
      </c>
      <c r="I139" s="24" t="s">
        <v>27</v>
      </c>
      <c r="J139" s="24" t="s">
        <v>325</v>
      </c>
      <c r="K139" s="25" t="s">
        <v>29</v>
      </c>
      <c r="L139" s="25" t="s">
        <v>67</v>
      </c>
      <c r="M139" s="15" t="s">
        <v>31</v>
      </c>
      <c r="N139" s="16" t="str">
        <f>Tabla14[[#This Row],[ABR_02]]</f>
        <v>CB</v>
      </c>
      <c r="O139" t="s">
        <v>32</v>
      </c>
      <c r="P139" t="s">
        <v>33</v>
      </c>
      <c r="Q139" t="s">
        <v>32</v>
      </c>
      <c r="R139" t="s">
        <v>35</v>
      </c>
      <c r="S139" t="str">
        <f>_xlfn.CONCAT(Tabla14[[#This Row],[ABR_01]],"X",Tabla14[[#This Row],[ABR_02]],Tabla14[[#This Row],[ZONA2]],,"X",Tabla14[[#This Row],[PARADA2]])</f>
        <v>ARXCB1X06</v>
      </c>
      <c r="T139" t="str">
        <f>Tabla14[[#This Row],[ABR_01]]&amp;Tabla14[[#This Row],[ABR_02]]&amp;Tabla14[[#This Row],[PARADA2]]</f>
        <v>ARCB06</v>
      </c>
      <c r="U139" s="37" t="s">
        <v>36</v>
      </c>
      <c r="V139" s="37" t="s">
        <v>36</v>
      </c>
      <c r="W139">
        <f>LEN(Tabla14[[#This Row],[Transport Zone 2]])</f>
        <v>9</v>
      </c>
    </row>
    <row r="140" spans="2:23" ht="16" hidden="1" thickTop="1" x14ac:dyDescent="0.2">
      <c r="B140" s="19" t="s">
        <v>40</v>
      </c>
      <c r="C140" s="8" t="s">
        <v>332</v>
      </c>
      <c r="D140" s="8" t="s">
        <v>332</v>
      </c>
      <c r="E140" s="9" t="s">
        <v>324</v>
      </c>
      <c r="F140" s="10" t="s">
        <v>265</v>
      </c>
      <c r="G140" s="13">
        <v>351</v>
      </c>
      <c r="H140" s="10">
        <v>650</v>
      </c>
      <c r="I140" s="24" t="s">
        <v>27</v>
      </c>
      <c r="J140" s="24" t="s">
        <v>325</v>
      </c>
      <c r="K140" s="25" t="s">
        <v>29</v>
      </c>
      <c r="L140" s="25" t="s">
        <v>70</v>
      </c>
      <c r="M140" s="15" t="s">
        <v>31</v>
      </c>
      <c r="N140" s="16" t="str">
        <f>Tabla14[[#This Row],[ABR_02]]</f>
        <v>CB</v>
      </c>
      <c r="O140" t="s">
        <v>32</v>
      </c>
      <c r="P140" t="s">
        <v>33</v>
      </c>
      <c r="Q140" t="s">
        <v>32</v>
      </c>
      <c r="R140" t="s">
        <v>35</v>
      </c>
      <c r="S140" t="str">
        <f>_xlfn.CONCAT(Tabla14[[#This Row],[ABR_01]],"X",Tabla14[[#This Row],[ABR_02]],Tabla14[[#This Row],[ZONA2]],,"X",Tabla14[[#This Row],[PARADA2]])</f>
        <v>ARXCB1X07</v>
      </c>
      <c r="T140" t="str">
        <f>Tabla14[[#This Row],[ABR_01]]&amp;Tabla14[[#This Row],[ABR_02]]&amp;Tabla14[[#This Row],[PARADA2]]</f>
        <v>ARCB07</v>
      </c>
      <c r="U140" s="37" t="s">
        <v>36</v>
      </c>
      <c r="V140" s="37" t="s">
        <v>36</v>
      </c>
      <c r="W140">
        <f>LEN(Tabla14[[#This Row],[Transport Zone 2]])</f>
        <v>9</v>
      </c>
    </row>
    <row r="141" spans="2:23" ht="16" hidden="1" thickTop="1" x14ac:dyDescent="0.2">
      <c r="B141" s="19" t="s">
        <v>40</v>
      </c>
      <c r="C141" s="56" t="s">
        <v>333</v>
      </c>
      <c r="D141" s="56" t="s">
        <v>334</v>
      </c>
      <c r="E141" s="9" t="s">
        <v>324</v>
      </c>
      <c r="F141" s="10" t="s">
        <v>265</v>
      </c>
      <c r="G141" s="13">
        <v>351</v>
      </c>
      <c r="H141" s="10">
        <v>600</v>
      </c>
      <c r="I141" s="24" t="s">
        <v>27</v>
      </c>
      <c r="J141" s="24" t="s">
        <v>325</v>
      </c>
      <c r="K141" s="25" t="s">
        <v>29</v>
      </c>
      <c r="L141" s="25" t="s">
        <v>73</v>
      </c>
      <c r="M141" s="15" t="s">
        <v>31</v>
      </c>
      <c r="N141" s="16" t="str">
        <f>Tabla14[[#This Row],[ABR_02]]</f>
        <v>CB</v>
      </c>
      <c r="O141" t="s">
        <v>32</v>
      </c>
      <c r="P141" t="s">
        <v>33</v>
      </c>
      <c r="Q141" t="s">
        <v>32</v>
      </c>
      <c r="R141" t="s">
        <v>35</v>
      </c>
      <c r="S141" s="29" t="str">
        <f>_xlfn.CONCAT(Tabla14[[#This Row],[ABR_01]],"X",Tabla14[[#This Row],[ABR_02]],Tabla14[[#This Row],[ZONA2]],,"X",Tabla14[[#This Row],[PARADA2]])</f>
        <v>ARXCB1X08</v>
      </c>
      <c r="T141" t="str">
        <f>Tabla14[[#This Row],[ABR_01]]&amp;Tabla14[[#This Row],[ABR_02]]&amp;Tabla14[[#This Row],[PARADA2]]</f>
        <v>ARCB08</v>
      </c>
      <c r="U141" s="37" t="s">
        <v>36</v>
      </c>
      <c r="V141" s="37" t="s">
        <v>36</v>
      </c>
      <c r="W141">
        <f>LEN(Tabla14[[#This Row],[Transport Zone 2]])</f>
        <v>9</v>
      </c>
    </row>
    <row r="142" spans="2:23" ht="16" hidden="1" thickTop="1" x14ac:dyDescent="0.2">
      <c r="B142" s="19" t="s">
        <v>40</v>
      </c>
      <c r="C142" s="8" t="s">
        <v>335</v>
      </c>
      <c r="D142" s="8" t="s">
        <v>336</v>
      </c>
      <c r="E142" s="9" t="s">
        <v>324</v>
      </c>
      <c r="F142" s="10" t="s">
        <v>265</v>
      </c>
      <c r="G142" s="13">
        <v>351</v>
      </c>
      <c r="H142" s="10">
        <v>680</v>
      </c>
      <c r="I142" s="24" t="s">
        <v>27</v>
      </c>
      <c r="J142" s="24" t="s">
        <v>325</v>
      </c>
      <c r="K142" s="25" t="s">
        <v>29</v>
      </c>
      <c r="L142" s="25" t="s">
        <v>125</v>
      </c>
      <c r="M142" s="15" t="s">
        <v>31</v>
      </c>
      <c r="N142" s="16" t="str">
        <f>Tabla14[[#This Row],[ABR_02]]</f>
        <v>CB</v>
      </c>
      <c r="O142" t="s">
        <v>32</v>
      </c>
      <c r="P142" t="s">
        <v>33</v>
      </c>
      <c r="Q142" t="s">
        <v>32</v>
      </c>
      <c r="R142" t="s">
        <v>35</v>
      </c>
      <c r="S142" t="str">
        <f>_xlfn.CONCAT(Tabla14[[#This Row],[ABR_01]],"X",Tabla14[[#This Row],[ABR_02]],Tabla14[[#This Row],[ZONA2]],,"X",Tabla14[[#This Row],[PARADA2]])</f>
        <v>ARXCB1X09</v>
      </c>
      <c r="T142" t="str">
        <f>Tabla14[[#This Row],[ABR_01]]&amp;Tabla14[[#This Row],[ABR_02]]&amp;Tabla14[[#This Row],[PARADA2]]</f>
        <v>ARCB09</v>
      </c>
      <c r="U142" s="37" t="s">
        <v>36</v>
      </c>
      <c r="V142" s="37" t="s">
        <v>36</v>
      </c>
      <c r="W142">
        <f>LEN(Tabla14[[#This Row],[Transport Zone 2]])</f>
        <v>9</v>
      </c>
    </row>
    <row r="143" spans="2:23" ht="16" hidden="1" thickTop="1" x14ac:dyDescent="0.2">
      <c r="B143" s="19" t="s">
        <v>40</v>
      </c>
      <c r="C143" s="8" t="s">
        <v>337</v>
      </c>
      <c r="D143" s="8" t="s">
        <v>337</v>
      </c>
      <c r="E143" s="9" t="s">
        <v>324</v>
      </c>
      <c r="F143" s="10" t="s">
        <v>265</v>
      </c>
      <c r="G143" s="13">
        <v>351</v>
      </c>
      <c r="H143" s="10">
        <v>610</v>
      </c>
      <c r="I143" s="24" t="s">
        <v>27</v>
      </c>
      <c r="J143" s="24" t="s">
        <v>325</v>
      </c>
      <c r="K143" s="25" t="s">
        <v>29</v>
      </c>
      <c r="L143" s="25" t="s">
        <v>128</v>
      </c>
      <c r="M143" s="15" t="s">
        <v>31</v>
      </c>
      <c r="N143" s="16" t="str">
        <f>Tabla14[[#This Row],[ABR_02]]</f>
        <v>CB</v>
      </c>
      <c r="O143" t="s">
        <v>32</v>
      </c>
      <c r="P143" t="s">
        <v>33</v>
      </c>
      <c r="Q143" t="s">
        <v>32</v>
      </c>
      <c r="R143" t="s">
        <v>35</v>
      </c>
      <c r="S143" t="str">
        <f>_xlfn.CONCAT(Tabla14[[#This Row],[ABR_01]],"X",Tabla14[[#This Row],[ABR_02]],Tabla14[[#This Row],[ZONA2]],,"X",Tabla14[[#This Row],[PARADA2]])</f>
        <v>ARXCB1X10</v>
      </c>
      <c r="T143" t="str">
        <f>Tabla14[[#This Row],[ABR_01]]&amp;Tabla14[[#This Row],[ABR_02]]&amp;Tabla14[[#This Row],[PARADA2]]</f>
        <v>ARCB10</v>
      </c>
      <c r="U143" s="37" t="s">
        <v>36</v>
      </c>
      <c r="V143" s="37" t="s">
        <v>36</v>
      </c>
      <c r="W143">
        <f>LEN(Tabla14[[#This Row],[Transport Zone 2]])</f>
        <v>9</v>
      </c>
    </row>
    <row r="144" spans="2:23" ht="16" hidden="1" thickTop="1" x14ac:dyDescent="0.2">
      <c r="B144" s="19" t="s">
        <v>40</v>
      </c>
      <c r="C144" s="8" t="s">
        <v>338</v>
      </c>
      <c r="D144" s="8" t="s">
        <v>338</v>
      </c>
      <c r="E144" s="9" t="s">
        <v>324</v>
      </c>
      <c r="F144" s="10" t="s">
        <v>265</v>
      </c>
      <c r="G144" s="13">
        <v>351</v>
      </c>
      <c r="H144" s="10">
        <v>670</v>
      </c>
      <c r="I144" s="24" t="s">
        <v>27</v>
      </c>
      <c r="J144" s="24" t="s">
        <v>325</v>
      </c>
      <c r="K144" s="25" t="s">
        <v>29</v>
      </c>
      <c r="L144" s="25" t="s">
        <v>130</v>
      </c>
      <c r="M144" s="15" t="s">
        <v>31</v>
      </c>
      <c r="N144" s="16" t="str">
        <f>Tabla14[[#This Row],[ABR_02]]</f>
        <v>CB</v>
      </c>
      <c r="O144" t="s">
        <v>32</v>
      </c>
      <c r="P144" t="s">
        <v>33</v>
      </c>
      <c r="Q144" t="s">
        <v>32</v>
      </c>
      <c r="R144" t="s">
        <v>35</v>
      </c>
      <c r="S144" t="str">
        <f>_xlfn.CONCAT(Tabla14[[#This Row],[ABR_01]],"X",Tabla14[[#This Row],[ABR_02]],Tabla14[[#This Row],[ZONA2]],,"X",Tabla14[[#This Row],[PARADA2]])</f>
        <v>ARXCB1X11</v>
      </c>
      <c r="T144" t="str">
        <f>Tabla14[[#This Row],[ABR_01]]&amp;Tabla14[[#This Row],[ABR_02]]&amp;Tabla14[[#This Row],[PARADA2]]</f>
        <v>ARCB11</v>
      </c>
      <c r="U144" s="37" t="s">
        <v>36</v>
      </c>
      <c r="V144" s="37" t="s">
        <v>36</v>
      </c>
      <c r="W144">
        <f>LEN(Tabla14[[#This Row],[Transport Zone 2]])</f>
        <v>9</v>
      </c>
    </row>
    <row r="145" spans="2:23" ht="16" hidden="1" thickTop="1" x14ac:dyDescent="0.2">
      <c r="B145" s="19" t="s">
        <v>40</v>
      </c>
      <c r="C145" s="8" t="s">
        <v>339</v>
      </c>
      <c r="D145" s="8" t="s">
        <v>339</v>
      </c>
      <c r="E145" s="9" t="s">
        <v>324</v>
      </c>
      <c r="F145" s="10" t="s">
        <v>265</v>
      </c>
      <c r="G145" s="13">
        <v>351</v>
      </c>
      <c r="H145" s="10">
        <v>645</v>
      </c>
      <c r="I145" s="24" t="s">
        <v>27</v>
      </c>
      <c r="J145" s="24" t="s">
        <v>325</v>
      </c>
      <c r="K145" s="25" t="s">
        <v>29</v>
      </c>
      <c r="L145" s="25" t="s">
        <v>132</v>
      </c>
      <c r="M145" s="15" t="s">
        <v>31</v>
      </c>
      <c r="N145" s="16" t="str">
        <f>Tabla14[[#This Row],[ABR_02]]</f>
        <v>CB</v>
      </c>
      <c r="O145" t="s">
        <v>32</v>
      </c>
      <c r="P145" t="s">
        <v>33</v>
      </c>
      <c r="Q145" t="s">
        <v>32</v>
      </c>
      <c r="R145" t="s">
        <v>35</v>
      </c>
      <c r="S145" t="str">
        <f>_xlfn.CONCAT(Tabla14[[#This Row],[ABR_01]],"X",Tabla14[[#This Row],[ABR_02]],Tabla14[[#This Row],[ZONA2]],,"X",Tabla14[[#This Row],[PARADA2]])</f>
        <v>ARXCB1X12</v>
      </c>
      <c r="T145" t="str">
        <f>Tabla14[[#This Row],[ABR_01]]&amp;Tabla14[[#This Row],[ABR_02]]&amp;Tabla14[[#This Row],[PARADA2]]</f>
        <v>ARCB12</v>
      </c>
      <c r="U145" s="37" t="s">
        <v>36</v>
      </c>
      <c r="V145" s="37" t="s">
        <v>36</v>
      </c>
      <c r="W145">
        <f>LEN(Tabla14[[#This Row],[Transport Zone 2]])</f>
        <v>9</v>
      </c>
    </row>
    <row r="146" spans="2:23" ht="16" hidden="1" thickTop="1" x14ac:dyDescent="0.2">
      <c r="B146" s="19" t="s">
        <v>40</v>
      </c>
      <c r="C146" s="8" t="s">
        <v>340</v>
      </c>
      <c r="D146" s="8" t="s">
        <v>340</v>
      </c>
      <c r="E146" s="9" t="s">
        <v>324</v>
      </c>
      <c r="F146" s="10" t="s">
        <v>265</v>
      </c>
      <c r="G146" s="13">
        <v>351</v>
      </c>
      <c r="H146" s="10">
        <v>660</v>
      </c>
      <c r="I146" s="24" t="s">
        <v>27</v>
      </c>
      <c r="J146" s="24" t="s">
        <v>325</v>
      </c>
      <c r="K146" s="25" t="s">
        <v>29</v>
      </c>
      <c r="L146" s="25" t="s">
        <v>134</v>
      </c>
      <c r="M146" s="15" t="s">
        <v>31</v>
      </c>
      <c r="N146" s="16" t="str">
        <f>Tabla14[[#This Row],[ABR_02]]</f>
        <v>CB</v>
      </c>
      <c r="O146" t="s">
        <v>32</v>
      </c>
      <c r="P146" t="s">
        <v>33</v>
      </c>
      <c r="Q146" t="s">
        <v>32</v>
      </c>
      <c r="R146" t="s">
        <v>35</v>
      </c>
      <c r="S146" t="str">
        <f>_xlfn.CONCAT(Tabla14[[#This Row],[ABR_01]],"X",Tabla14[[#This Row],[ABR_02]],Tabla14[[#This Row],[ZONA2]],,"X",Tabla14[[#This Row],[PARADA2]])</f>
        <v>ARXCB1X13</v>
      </c>
      <c r="T146" t="str">
        <f>Tabla14[[#This Row],[ABR_01]]&amp;Tabla14[[#This Row],[ABR_02]]&amp;Tabla14[[#This Row],[PARADA2]]</f>
        <v>ARCB13</v>
      </c>
      <c r="U146" s="37" t="s">
        <v>36</v>
      </c>
      <c r="V146" s="37" t="s">
        <v>36</v>
      </c>
      <c r="W146">
        <f>LEN(Tabla14[[#This Row],[Transport Zone 2]])</f>
        <v>9</v>
      </c>
    </row>
    <row r="147" spans="2:23" ht="16" hidden="1" thickTop="1" x14ac:dyDescent="0.2">
      <c r="B147" s="19" t="s">
        <v>40</v>
      </c>
      <c r="C147" s="8" t="s">
        <v>341</v>
      </c>
      <c r="D147" s="8" t="s">
        <v>341</v>
      </c>
      <c r="E147" s="9" t="s">
        <v>324</v>
      </c>
      <c r="F147" s="10" t="s">
        <v>265</v>
      </c>
      <c r="G147" s="13">
        <v>351</v>
      </c>
      <c r="H147" s="10">
        <v>625</v>
      </c>
      <c r="I147" s="24" t="s">
        <v>27</v>
      </c>
      <c r="J147" s="24" t="s">
        <v>325</v>
      </c>
      <c r="K147" s="25" t="s">
        <v>29</v>
      </c>
      <c r="L147" s="25" t="s">
        <v>137</v>
      </c>
      <c r="M147" s="15" t="s">
        <v>31</v>
      </c>
      <c r="N147" s="16" t="str">
        <f>Tabla14[[#This Row],[ABR_02]]</f>
        <v>CB</v>
      </c>
      <c r="O147" t="s">
        <v>32</v>
      </c>
      <c r="P147" t="s">
        <v>33</v>
      </c>
      <c r="Q147" t="s">
        <v>32</v>
      </c>
      <c r="R147" t="s">
        <v>35</v>
      </c>
      <c r="S147" t="str">
        <f>_xlfn.CONCAT(Tabla14[[#This Row],[ABR_01]],"X",Tabla14[[#This Row],[ABR_02]],Tabla14[[#This Row],[ZONA2]],,"X",Tabla14[[#This Row],[PARADA2]])</f>
        <v>ARXCB1X14</v>
      </c>
      <c r="T147" t="str">
        <f>Tabla14[[#This Row],[ABR_01]]&amp;Tabla14[[#This Row],[ABR_02]]&amp;Tabla14[[#This Row],[PARADA2]]</f>
        <v>ARCB14</v>
      </c>
      <c r="U147" s="37" t="s">
        <v>36</v>
      </c>
      <c r="V147" s="37" t="s">
        <v>36</v>
      </c>
      <c r="W147">
        <f>LEN(Tabla14[[#This Row],[Transport Zone 2]])</f>
        <v>9</v>
      </c>
    </row>
    <row r="148" spans="2:23" ht="16" hidden="1" thickTop="1" x14ac:dyDescent="0.2">
      <c r="B148" s="19" t="s">
        <v>40</v>
      </c>
      <c r="C148" s="8" t="s">
        <v>342</v>
      </c>
      <c r="D148" s="8" t="s">
        <v>342</v>
      </c>
      <c r="E148" s="9" t="s">
        <v>324</v>
      </c>
      <c r="F148" s="10" t="s">
        <v>265</v>
      </c>
      <c r="G148" s="13">
        <v>351</v>
      </c>
      <c r="H148" s="10">
        <v>655</v>
      </c>
      <c r="I148" s="24" t="s">
        <v>27</v>
      </c>
      <c r="J148" s="24" t="s">
        <v>325</v>
      </c>
      <c r="K148" s="25" t="s">
        <v>29</v>
      </c>
      <c r="L148" s="25" t="s">
        <v>140</v>
      </c>
      <c r="M148" s="15" t="s">
        <v>31</v>
      </c>
      <c r="N148" s="16" t="str">
        <f>Tabla14[[#This Row],[ABR_02]]</f>
        <v>CB</v>
      </c>
      <c r="O148" t="s">
        <v>32</v>
      </c>
      <c r="P148" t="s">
        <v>33</v>
      </c>
      <c r="Q148" t="s">
        <v>32</v>
      </c>
      <c r="R148" t="s">
        <v>35</v>
      </c>
      <c r="S148" t="str">
        <f>_xlfn.CONCAT(Tabla14[[#This Row],[ABR_01]],"X",Tabla14[[#This Row],[ABR_02]],Tabla14[[#This Row],[ZONA2]],,"X",Tabla14[[#This Row],[PARADA2]])</f>
        <v>ARXCB1X15</v>
      </c>
      <c r="T148" t="str">
        <f>Tabla14[[#This Row],[ABR_01]]&amp;Tabla14[[#This Row],[ABR_02]]&amp;Tabla14[[#This Row],[PARADA2]]</f>
        <v>ARCB15</v>
      </c>
      <c r="U148" s="37" t="s">
        <v>36</v>
      </c>
      <c r="V148" s="37" t="s">
        <v>36</v>
      </c>
      <c r="W148">
        <f>LEN(Tabla14[[#This Row],[Transport Zone 2]])</f>
        <v>9</v>
      </c>
    </row>
    <row r="149" spans="2:23" ht="16" hidden="1" thickTop="1" x14ac:dyDescent="0.2">
      <c r="B149" s="19" t="s">
        <v>40</v>
      </c>
      <c r="C149" s="8" t="s">
        <v>343</v>
      </c>
      <c r="D149" s="8" t="s">
        <v>344</v>
      </c>
      <c r="E149" s="9" t="s">
        <v>324</v>
      </c>
      <c r="F149" s="10" t="s">
        <v>265</v>
      </c>
      <c r="G149" s="13">
        <v>351</v>
      </c>
      <c r="H149" s="10">
        <v>620</v>
      </c>
      <c r="I149" s="24" t="s">
        <v>27</v>
      </c>
      <c r="J149" s="24" t="s">
        <v>325</v>
      </c>
      <c r="K149" s="25" t="s">
        <v>29</v>
      </c>
      <c r="L149" s="25" t="s">
        <v>143</v>
      </c>
      <c r="M149" s="15" t="s">
        <v>31</v>
      </c>
      <c r="N149" s="16" t="str">
        <f>Tabla14[[#This Row],[ABR_02]]</f>
        <v>CB</v>
      </c>
      <c r="O149" t="s">
        <v>32</v>
      </c>
      <c r="P149" t="s">
        <v>33</v>
      </c>
      <c r="Q149" t="s">
        <v>32</v>
      </c>
      <c r="R149" t="s">
        <v>35</v>
      </c>
      <c r="S149" t="str">
        <f>_xlfn.CONCAT(Tabla14[[#This Row],[ABR_01]],"X",Tabla14[[#This Row],[ABR_02]],Tabla14[[#This Row],[ZONA2]],,"X",Tabla14[[#This Row],[PARADA2]])</f>
        <v>ARXCB1X16</v>
      </c>
      <c r="T149" t="str">
        <f>Tabla14[[#This Row],[ABR_01]]&amp;Tabla14[[#This Row],[ABR_02]]&amp;Tabla14[[#This Row],[PARADA2]]</f>
        <v>ARCB16</v>
      </c>
      <c r="U149" s="37" t="s">
        <v>36</v>
      </c>
      <c r="V149" s="37" t="s">
        <v>36</v>
      </c>
      <c r="W149">
        <f>LEN(Tabla14[[#This Row],[Transport Zone 2]])</f>
        <v>9</v>
      </c>
    </row>
    <row r="150" spans="2:23" ht="16" hidden="1" thickTop="1" x14ac:dyDescent="0.2">
      <c r="B150" s="19" t="s">
        <v>40</v>
      </c>
      <c r="C150" s="8" t="s">
        <v>345</v>
      </c>
      <c r="D150" s="8" t="s">
        <v>346</v>
      </c>
      <c r="E150" s="9" t="s">
        <v>324</v>
      </c>
      <c r="F150" s="10" t="s">
        <v>265</v>
      </c>
      <c r="G150" s="13">
        <v>351</v>
      </c>
      <c r="H150" s="10">
        <v>662</v>
      </c>
      <c r="I150" s="24" t="s">
        <v>27</v>
      </c>
      <c r="J150" s="24" t="s">
        <v>325</v>
      </c>
      <c r="K150" s="25" t="s">
        <v>29</v>
      </c>
      <c r="L150" s="25" t="s">
        <v>146</v>
      </c>
      <c r="M150" s="15" t="s">
        <v>31</v>
      </c>
      <c r="N150" s="16" t="str">
        <f>Tabla14[[#This Row],[ABR_02]]</f>
        <v>CB</v>
      </c>
      <c r="O150" t="s">
        <v>32</v>
      </c>
      <c r="P150" t="s">
        <v>33</v>
      </c>
      <c r="Q150" t="s">
        <v>32</v>
      </c>
      <c r="R150" t="s">
        <v>35</v>
      </c>
      <c r="S150" t="str">
        <f>_xlfn.CONCAT(Tabla14[[#This Row],[ABR_01]],"X",Tabla14[[#This Row],[ABR_02]],Tabla14[[#This Row],[ZONA2]],,"X",Tabla14[[#This Row],[PARADA2]])</f>
        <v>ARXCB1X17</v>
      </c>
      <c r="T150" t="str">
        <f>Tabla14[[#This Row],[ABR_01]]&amp;Tabla14[[#This Row],[ABR_02]]&amp;Tabla14[[#This Row],[PARADA2]]</f>
        <v>ARCB17</v>
      </c>
      <c r="U150" s="37" t="s">
        <v>36</v>
      </c>
      <c r="V150" s="37" t="s">
        <v>36</v>
      </c>
      <c r="W150">
        <f>LEN(Tabla14[[#This Row],[Transport Zone 2]])</f>
        <v>9</v>
      </c>
    </row>
    <row r="151" spans="2:23" ht="16" hidden="1" thickTop="1" x14ac:dyDescent="0.2">
      <c r="B151" s="19" t="s">
        <v>40</v>
      </c>
      <c r="C151" s="8" t="s">
        <v>347</v>
      </c>
      <c r="D151" s="8" t="s">
        <v>348</v>
      </c>
      <c r="E151" s="9" t="s">
        <v>324</v>
      </c>
      <c r="F151" s="10" t="s">
        <v>265</v>
      </c>
      <c r="G151" s="13">
        <v>351</v>
      </c>
      <c r="H151" s="10">
        <v>665</v>
      </c>
      <c r="I151" s="24" t="s">
        <v>27</v>
      </c>
      <c r="J151" s="24" t="s">
        <v>325</v>
      </c>
      <c r="K151" s="25" t="s">
        <v>29</v>
      </c>
      <c r="L151" s="25" t="s">
        <v>148</v>
      </c>
      <c r="M151" s="15" t="s">
        <v>31</v>
      </c>
      <c r="N151" s="16" t="str">
        <f>Tabla14[[#This Row],[ABR_02]]</f>
        <v>CB</v>
      </c>
      <c r="O151" t="s">
        <v>32</v>
      </c>
      <c r="P151" t="s">
        <v>33</v>
      </c>
      <c r="Q151" t="s">
        <v>32</v>
      </c>
      <c r="R151" t="s">
        <v>35</v>
      </c>
      <c r="S151" t="str">
        <f>_xlfn.CONCAT(Tabla14[[#This Row],[ABR_01]],"X",Tabla14[[#This Row],[ABR_02]],Tabla14[[#This Row],[ZONA2]],,"X",Tabla14[[#This Row],[PARADA2]])</f>
        <v>ARXCB1X18</v>
      </c>
      <c r="T151" t="str">
        <f>Tabla14[[#This Row],[ABR_01]]&amp;Tabla14[[#This Row],[ABR_02]]&amp;Tabla14[[#This Row],[PARADA2]]</f>
        <v>ARCB18</v>
      </c>
      <c r="U151" s="37" t="s">
        <v>36</v>
      </c>
      <c r="V151" s="37" t="s">
        <v>36</v>
      </c>
      <c r="W151">
        <f>LEN(Tabla14[[#This Row],[Transport Zone 2]])</f>
        <v>9</v>
      </c>
    </row>
    <row r="152" spans="2:23" ht="16" hidden="1" thickTop="1" x14ac:dyDescent="0.2">
      <c r="B152" s="19" t="s">
        <v>40</v>
      </c>
      <c r="C152" s="8" t="s">
        <v>349</v>
      </c>
      <c r="D152" s="8" t="s">
        <v>350</v>
      </c>
      <c r="E152" s="9" t="s">
        <v>324</v>
      </c>
      <c r="F152" s="10" t="s">
        <v>265</v>
      </c>
      <c r="G152" s="13">
        <v>351</v>
      </c>
      <c r="H152" s="10">
        <v>720</v>
      </c>
      <c r="I152" s="24" t="s">
        <v>27</v>
      </c>
      <c r="J152" s="24" t="s">
        <v>325</v>
      </c>
      <c r="K152" s="25" t="s">
        <v>29</v>
      </c>
      <c r="L152" s="25" t="s">
        <v>151</v>
      </c>
      <c r="M152" s="15" t="s">
        <v>31</v>
      </c>
      <c r="N152" s="16" t="str">
        <f>Tabla14[[#This Row],[ABR_02]]</f>
        <v>CB</v>
      </c>
      <c r="O152" t="s">
        <v>32</v>
      </c>
      <c r="P152" t="s">
        <v>33</v>
      </c>
      <c r="Q152" t="s">
        <v>32</v>
      </c>
      <c r="R152" t="s">
        <v>35</v>
      </c>
      <c r="S152" t="str">
        <f>_xlfn.CONCAT(Tabla14[[#This Row],[ABR_01]],"X",Tabla14[[#This Row],[ABR_02]],Tabla14[[#This Row],[ZONA2]],,"X",Tabla14[[#This Row],[PARADA2]])</f>
        <v>ARXCB1X19</v>
      </c>
      <c r="T152" t="str">
        <f>Tabla14[[#This Row],[ABR_01]]&amp;Tabla14[[#This Row],[ABR_02]]&amp;Tabla14[[#This Row],[PARADA2]]</f>
        <v>ARCB19</v>
      </c>
      <c r="U152" s="37" t="s">
        <v>36</v>
      </c>
      <c r="V152" s="37" t="s">
        <v>36</v>
      </c>
      <c r="W152">
        <f>LEN(Tabla14[[#This Row],[Transport Zone 2]])</f>
        <v>9</v>
      </c>
    </row>
    <row r="153" spans="2:23" ht="16" hidden="1" thickTop="1" x14ac:dyDescent="0.2">
      <c r="B153" s="19" t="s">
        <v>40</v>
      </c>
      <c r="C153" s="8" t="s">
        <v>351</v>
      </c>
      <c r="D153" s="8" t="s">
        <v>351</v>
      </c>
      <c r="E153" s="9" t="s">
        <v>324</v>
      </c>
      <c r="F153" s="10" t="s">
        <v>265</v>
      </c>
      <c r="G153" s="13">
        <v>351</v>
      </c>
      <c r="H153" s="10">
        <v>657</v>
      </c>
      <c r="I153" s="24" t="s">
        <v>27</v>
      </c>
      <c r="J153" s="24" t="s">
        <v>325</v>
      </c>
      <c r="K153" s="25" t="s">
        <v>29</v>
      </c>
      <c r="L153" s="25" t="s">
        <v>153</v>
      </c>
      <c r="M153" s="15" t="s">
        <v>31</v>
      </c>
      <c r="N153" s="16" t="str">
        <f>Tabla14[[#This Row],[ABR_02]]</f>
        <v>CB</v>
      </c>
      <c r="O153" t="s">
        <v>32</v>
      </c>
      <c r="P153" t="s">
        <v>33</v>
      </c>
      <c r="Q153" t="s">
        <v>32</v>
      </c>
      <c r="R153" t="s">
        <v>35</v>
      </c>
      <c r="S153" t="str">
        <f>_xlfn.CONCAT(Tabla14[[#This Row],[ABR_01]],"X",Tabla14[[#This Row],[ABR_02]],Tabla14[[#This Row],[ZONA2]],,"X",Tabla14[[#This Row],[PARADA2]])</f>
        <v>ARXCB1X20</v>
      </c>
      <c r="T153" t="str">
        <f>Tabla14[[#This Row],[ABR_01]]&amp;Tabla14[[#This Row],[ABR_02]]&amp;Tabla14[[#This Row],[PARADA2]]</f>
        <v>ARCB20</v>
      </c>
      <c r="U153" s="37" t="s">
        <v>36</v>
      </c>
      <c r="V153" s="37" t="s">
        <v>36</v>
      </c>
      <c r="W153">
        <f>LEN(Tabla14[[#This Row],[Transport Zone 2]])</f>
        <v>9</v>
      </c>
    </row>
    <row r="154" spans="2:23" ht="16" hidden="1" thickTop="1" x14ac:dyDescent="0.2">
      <c r="B154" s="19" t="s">
        <v>40</v>
      </c>
      <c r="C154" s="8" t="s">
        <v>352</v>
      </c>
      <c r="D154" s="17" t="s">
        <v>353</v>
      </c>
      <c r="E154" s="9" t="s">
        <v>324</v>
      </c>
      <c r="F154" s="10" t="s">
        <v>265</v>
      </c>
      <c r="G154" s="13">
        <v>351</v>
      </c>
      <c r="H154" s="10">
        <v>630</v>
      </c>
      <c r="I154" s="24" t="s">
        <v>27</v>
      </c>
      <c r="J154" s="24" t="s">
        <v>325</v>
      </c>
      <c r="K154" s="25" t="s">
        <v>29</v>
      </c>
      <c r="L154" s="25" t="s">
        <v>156</v>
      </c>
      <c r="M154" s="15" t="s">
        <v>31</v>
      </c>
      <c r="N154" s="16" t="str">
        <f>Tabla14[[#This Row],[ABR_02]]</f>
        <v>CB</v>
      </c>
      <c r="O154" t="s">
        <v>32</v>
      </c>
      <c r="P154" t="s">
        <v>33</v>
      </c>
      <c r="Q154" t="s">
        <v>32</v>
      </c>
      <c r="R154" t="s">
        <v>35</v>
      </c>
      <c r="S154" t="str">
        <f>_xlfn.CONCAT(Tabla14[[#This Row],[ABR_01]],"X",Tabla14[[#This Row],[ABR_02]],Tabla14[[#This Row],[ZONA2]],,"X",Tabla14[[#This Row],[PARADA2]])</f>
        <v>ARXCB1X21</v>
      </c>
      <c r="T154" t="str">
        <f>Tabla14[[#This Row],[ABR_01]]&amp;Tabla14[[#This Row],[ABR_02]]&amp;Tabla14[[#This Row],[PARADA2]]</f>
        <v>ARCB21</v>
      </c>
      <c r="U154" s="37" t="s">
        <v>36</v>
      </c>
      <c r="V154" s="37" t="s">
        <v>36</v>
      </c>
      <c r="W154">
        <f>LEN(Tabla14[[#This Row],[Transport Zone 2]])</f>
        <v>9</v>
      </c>
    </row>
    <row r="155" spans="2:23" ht="16" hidden="1" thickTop="1" x14ac:dyDescent="0.2">
      <c r="B155" s="19" t="s">
        <v>40</v>
      </c>
      <c r="C155" s="8" t="s">
        <v>354</v>
      </c>
      <c r="D155" s="17" t="s">
        <v>355</v>
      </c>
      <c r="E155" s="9" t="s">
        <v>324</v>
      </c>
      <c r="F155" s="10" t="s">
        <v>265</v>
      </c>
      <c r="G155" s="13">
        <v>351</v>
      </c>
      <c r="H155" s="10">
        <v>615</v>
      </c>
      <c r="I155" s="24" t="s">
        <v>27</v>
      </c>
      <c r="J155" s="24" t="s">
        <v>325</v>
      </c>
      <c r="K155" s="25" t="s">
        <v>29</v>
      </c>
      <c r="L155" s="25" t="s">
        <v>158</v>
      </c>
      <c r="M155" s="15" t="s">
        <v>31</v>
      </c>
      <c r="N155" s="16" t="str">
        <f>Tabla14[[#This Row],[ABR_02]]</f>
        <v>CB</v>
      </c>
      <c r="O155" t="s">
        <v>32</v>
      </c>
      <c r="P155" t="s">
        <v>33</v>
      </c>
      <c r="Q155" t="s">
        <v>32</v>
      </c>
      <c r="R155" t="s">
        <v>35</v>
      </c>
      <c r="S155" t="str">
        <f>_xlfn.CONCAT(Tabla14[[#This Row],[ABR_01]],"X",Tabla14[[#This Row],[ABR_02]],Tabla14[[#This Row],[ZONA2]],,"X",Tabla14[[#This Row],[PARADA2]])</f>
        <v>ARXCB1X22</v>
      </c>
      <c r="T155" t="str">
        <f>Tabla14[[#This Row],[ABR_01]]&amp;Tabla14[[#This Row],[ABR_02]]&amp;Tabla14[[#This Row],[PARADA2]]</f>
        <v>ARCB22</v>
      </c>
      <c r="U155" s="37" t="s">
        <v>36</v>
      </c>
      <c r="V155" s="37" t="s">
        <v>36</v>
      </c>
      <c r="W155">
        <f>LEN(Tabla14[[#This Row],[Transport Zone 2]])</f>
        <v>9</v>
      </c>
    </row>
    <row r="156" spans="2:23" ht="16" hidden="1" thickTop="1" x14ac:dyDescent="0.2">
      <c r="B156" s="19" t="s">
        <v>40</v>
      </c>
      <c r="C156" s="8" t="s">
        <v>356</v>
      </c>
      <c r="D156" s="17" t="s">
        <v>357</v>
      </c>
      <c r="E156" s="9" t="s">
        <v>324</v>
      </c>
      <c r="F156" s="10" t="s">
        <v>265</v>
      </c>
      <c r="G156" s="13">
        <v>351</v>
      </c>
      <c r="H156" s="10">
        <v>640</v>
      </c>
      <c r="I156" s="24" t="s">
        <v>27</v>
      </c>
      <c r="J156" s="24" t="s">
        <v>325</v>
      </c>
      <c r="K156" s="25" t="s">
        <v>29</v>
      </c>
      <c r="L156" s="25" t="s">
        <v>161</v>
      </c>
      <c r="M156" s="15" t="s">
        <v>31</v>
      </c>
      <c r="N156" s="16" t="str">
        <f>Tabla14[[#This Row],[ABR_02]]</f>
        <v>CB</v>
      </c>
      <c r="O156" t="s">
        <v>32</v>
      </c>
      <c r="P156" t="s">
        <v>33</v>
      </c>
      <c r="Q156" t="s">
        <v>32</v>
      </c>
      <c r="R156" t="s">
        <v>35</v>
      </c>
      <c r="S156" t="str">
        <f>_xlfn.CONCAT(Tabla14[[#This Row],[ABR_01]],"X",Tabla14[[#This Row],[ABR_02]],Tabla14[[#This Row],[ZONA2]],,"X",Tabla14[[#This Row],[PARADA2]])</f>
        <v>ARXCB1X23</v>
      </c>
      <c r="T156" t="str">
        <f>Tabla14[[#This Row],[ABR_01]]&amp;Tabla14[[#This Row],[ABR_02]]&amp;Tabla14[[#This Row],[PARADA2]]</f>
        <v>ARCB23</v>
      </c>
      <c r="U156" s="37" t="s">
        <v>36</v>
      </c>
      <c r="V156" s="37" t="s">
        <v>36</v>
      </c>
      <c r="W156">
        <f>LEN(Tabla14[[#This Row],[Transport Zone 2]])</f>
        <v>9</v>
      </c>
    </row>
    <row r="157" spans="2:23" ht="16" hidden="1" thickTop="1" x14ac:dyDescent="0.2">
      <c r="B157" s="19" t="s">
        <v>40</v>
      </c>
      <c r="C157" s="8" t="s">
        <v>358</v>
      </c>
      <c r="D157" s="17" t="s">
        <v>358</v>
      </c>
      <c r="E157" s="9" t="s">
        <v>324</v>
      </c>
      <c r="F157" s="10" t="s">
        <v>265</v>
      </c>
      <c r="G157" s="13">
        <v>351</v>
      </c>
      <c r="H157" s="10">
        <v>685</v>
      </c>
      <c r="I157" s="24" t="s">
        <v>27</v>
      </c>
      <c r="J157" s="24" t="s">
        <v>325</v>
      </c>
      <c r="K157" s="25" t="s">
        <v>29</v>
      </c>
      <c r="L157" s="25" t="s">
        <v>164</v>
      </c>
      <c r="M157" s="15" t="s">
        <v>31</v>
      </c>
      <c r="N157" s="16" t="str">
        <f>Tabla14[[#This Row],[ABR_02]]</f>
        <v>CB</v>
      </c>
      <c r="O157" t="s">
        <v>32</v>
      </c>
      <c r="P157" t="s">
        <v>33</v>
      </c>
      <c r="Q157" t="s">
        <v>32</v>
      </c>
      <c r="R157" t="s">
        <v>35</v>
      </c>
      <c r="S157" t="str">
        <f>_xlfn.CONCAT(Tabla14[[#This Row],[ABR_01]],"X",Tabla14[[#This Row],[ABR_02]],Tabla14[[#This Row],[ZONA2]],,"X",Tabla14[[#This Row],[PARADA2]])</f>
        <v>ARXCB1X24</v>
      </c>
      <c r="T157" t="str">
        <f>Tabla14[[#This Row],[ABR_01]]&amp;Tabla14[[#This Row],[ABR_02]]&amp;Tabla14[[#This Row],[PARADA2]]</f>
        <v>ARCB24</v>
      </c>
      <c r="U157" s="37" t="s">
        <v>36</v>
      </c>
      <c r="V157" s="37" t="s">
        <v>36</v>
      </c>
      <c r="W157">
        <f>LEN(Tabla14[[#This Row],[Transport Zone 2]])</f>
        <v>9</v>
      </c>
    </row>
    <row r="158" spans="2:23" ht="16" hidden="1" thickTop="1" x14ac:dyDescent="0.2">
      <c r="B158" s="19" t="s">
        <v>40</v>
      </c>
      <c r="C158" s="8" t="s">
        <v>359</v>
      </c>
      <c r="D158" s="12" t="s">
        <v>360</v>
      </c>
      <c r="E158" s="9" t="s">
        <v>324</v>
      </c>
      <c r="F158" s="10" t="s">
        <v>265</v>
      </c>
      <c r="G158" s="13">
        <v>351</v>
      </c>
      <c r="H158" s="10">
        <v>675</v>
      </c>
      <c r="I158" s="24" t="s">
        <v>27</v>
      </c>
      <c r="J158" s="24" t="s">
        <v>325</v>
      </c>
      <c r="K158" s="25" t="s">
        <v>29</v>
      </c>
      <c r="L158" s="25" t="s">
        <v>166</v>
      </c>
      <c r="M158" s="15" t="s">
        <v>31</v>
      </c>
      <c r="N158" s="16" t="str">
        <f>Tabla14[[#This Row],[ABR_02]]</f>
        <v>CB</v>
      </c>
      <c r="O158" t="s">
        <v>32</v>
      </c>
      <c r="P158" t="s">
        <v>33</v>
      </c>
      <c r="Q158" t="s">
        <v>32</v>
      </c>
      <c r="R158" t="s">
        <v>35</v>
      </c>
      <c r="S158" t="str">
        <f>_xlfn.CONCAT(Tabla14[[#This Row],[ABR_01]],"X",Tabla14[[#This Row],[ABR_02]],Tabla14[[#This Row],[ZONA2]],,"X",Tabla14[[#This Row],[PARADA2]])</f>
        <v>ARXCB1X25</v>
      </c>
      <c r="T158" t="str">
        <f>Tabla14[[#This Row],[ABR_01]]&amp;Tabla14[[#This Row],[ABR_02]]&amp;Tabla14[[#This Row],[PARADA2]]</f>
        <v>ARCB25</v>
      </c>
      <c r="U158" s="37" t="s">
        <v>36</v>
      </c>
      <c r="V158" s="37" t="s">
        <v>36</v>
      </c>
      <c r="W158">
        <f>LEN(Tabla14[[#This Row],[Transport Zone 2]])</f>
        <v>9</v>
      </c>
    </row>
    <row r="159" spans="2:23" ht="16" hidden="1" thickTop="1" x14ac:dyDescent="0.2">
      <c r="B159" s="19" t="s">
        <v>40</v>
      </c>
      <c r="C159" s="8" t="s">
        <v>361</v>
      </c>
      <c r="D159" s="12" t="s">
        <v>362</v>
      </c>
      <c r="E159" s="9" t="s">
        <v>363</v>
      </c>
      <c r="F159" s="10" t="s">
        <v>88</v>
      </c>
      <c r="G159" s="13">
        <v>354</v>
      </c>
      <c r="H159" s="10">
        <v>470</v>
      </c>
      <c r="I159" s="24" t="s">
        <v>27</v>
      </c>
      <c r="J159" s="24" t="s">
        <v>364</v>
      </c>
      <c r="K159" s="25" t="s">
        <v>29</v>
      </c>
      <c r="L159" s="25" t="s">
        <v>30</v>
      </c>
      <c r="M159" s="15" t="s">
        <v>31</v>
      </c>
      <c r="N159" s="16" t="str">
        <f>Tabla14[[#This Row],[ABR_02]]</f>
        <v>CA</v>
      </c>
      <c r="O159" t="s">
        <v>32</v>
      </c>
      <c r="P159" t="s">
        <v>33</v>
      </c>
      <c r="Q159" t="s">
        <v>57</v>
      </c>
      <c r="R159" t="s">
        <v>35</v>
      </c>
      <c r="S159" t="str">
        <f>_xlfn.CONCAT(Tabla14[[#This Row],[ABR_01]],"X",Tabla14[[#This Row],[ABR_02]],Tabla14[[#This Row],[ZONA2]],,"X",Tabla14[[#This Row],[PARADA2]])</f>
        <v>ARXCA1X01</v>
      </c>
      <c r="T159" t="str">
        <f>Tabla14[[#This Row],[ABR_01]]&amp;Tabla14[[#This Row],[ABR_02]]&amp;Tabla14[[#This Row],[PARADA2]]</f>
        <v>ARCA01</v>
      </c>
      <c r="U159" s="37" t="s">
        <v>36</v>
      </c>
      <c r="V159" s="37" t="s">
        <v>36</v>
      </c>
      <c r="W159">
        <f>LEN(Tabla14[[#This Row],[Transport Zone 2]])</f>
        <v>9</v>
      </c>
    </row>
    <row r="160" spans="2:23" ht="16" thickTop="1" x14ac:dyDescent="0.2">
      <c r="B160" s="18" t="s">
        <v>365</v>
      </c>
      <c r="C160" s="2" t="s">
        <v>366</v>
      </c>
      <c r="D160" s="3" t="s">
        <v>366</v>
      </c>
      <c r="E160" s="6" t="s">
        <v>367</v>
      </c>
      <c r="F160" s="4" t="s">
        <v>368</v>
      </c>
      <c r="G160" s="5" t="s">
        <v>369</v>
      </c>
      <c r="H160" s="4" t="s">
        <v>369</v>
      </c>
      <c r="I160" s="24" t="s">
        <v>27</v>
      </c>
      <c r="J160" s="24" t="s">
        <v>370</v>
      </c>
      <c r="K160" s="25" t="s">
        <v>29</v>
      </c>
      <c r="L160" s="25" t="s">
        <v>30</v>
      </c>
      <c r="M160" s="15" t="s">
        <v>31</v>
      </c>
      <c r="N160" s="16" t="str">
        <f>Tabla14[[#This Row],[ABR_02]]</f>
        <v>BA</v>
      </c>
      <c r="O160" t="s">
        <v>32</v>
      </c>
      <c r="P160" t="s">
        <v>33</v>
      </c>
      <c r="Q160" t="s">
        <v>32</v>
      </c>
      <c r="R160" t="s">
        <v>35</v>
      </c>
      <c r="S160" t="str">
        <f>_xlfn.CONCAT(Tabla14[[#This Row],[ABR_01]],"X",Tabla14[[#This Row],[ABR_02]],Tabla14[[#This Row],[ZONA2]],,"X",Tabla14[[#This Row],[PARADA2]])</f>
        <v>ARXBA1X01</v>
      </c>
      <c r="T160" t="str">
        <f>Tabla14[[#This Row],[ABR_01]]&amp;Tabla14[[#This Row],[ABR_02]]&amp;Tabla14[[#This Row],[PARADA2]]</f>
        <v>ARBA01</v>
      </c>
      <c r="U160" s="37" t="s">
        <v>36</v>
      </c>
      <c r="V160" s="37" t="s">
        <v>36</v>
      </c>
      <c r="W160">
        <f>LEN(Tabla14[[#This Row],[Transport Zone 2]])</f>
        <v>9</v>
      </c>
    </row>
    <row r="161" spans="2:23" x14ac:dyDescent="0.2">
      <c r="B161" s="18" t="s">
        <v>365</v>
      </c>
      <c r="C161" s="2" t="s">
        <v>371</v>
      </c>
      <c r="D161" s="3" t="s">
        <v>371</v>
      </c>
      <c r="E161" s="6" t="s">
        <v>367</v>
      </c>
      <c r="F161" s="4" t="s">
        <v>368</v>
      </c>
      <c r="G161" s="5" t="s">
        <v>372</v>
      </c>
      <c r="H161" s="4" t="s">
        <v>372</v>
      </c>
      <c r="I161" s="24" t="s">
        <v>27</v>
      </c>
      <c r="J161" s="24" t="s">
        <v>370</v>
      </c>
      <c r="K161" s="25" t="s">
        <v>29</v>
      </c>
      <c r="L161" s="25" t="s">
        <v>46</v>
      </c>
      <c r="M161" s="15" t="s">
        <v>31</v>
      </c>
      <c r="N161" s="16" t="str">
        <f>Tabla14[[#This Row],[ABR_02]]</f>
        <v>BA</v>
      </c>
      <c r="O161" t="s">
        <v>32</v>
      </c>
      <c r="P161" t="s">
        <v>33</v>
      </c>
      <c r="Q161" t="s">
        <v>32</v>
      </c>
      <c r="R161" t="s">
        <v>35</v>
      </c>
      <c r="S161" t="str">
        <f>_xlfn.CONCAT(Tabla14[[#This Row],[ABR_01]],"X",Tabla14[[#This Row],[ABR_02]],Tabla14[[#This Row],[ZONA2]],,"X",Tabla14[[#This Row],[PARADA2]])</f>
        <v>ARXBA1X02</v>
      </c>
      <c r="T161" t="str">
        <f>Tabla14[[#This Row],[ABR_01]]&amp;Tabla14[[#This Row],[ABR_02]]&amp;Tabla14[[#This Row],[PARADA2]]</f>
        <v>ARBA02</v>
      </c>
      <c r="U161" s="37" t="s">
        <v>36</v>
      </c>
      <c r="V161" s="37" t="s">
        <v>36</v>
      </c>
      <c r="W161">
        <f>LEN(Tabla14[[#This Row],[Transport Zone 2]])</f>
        <v>9</v>
      </c>
    </row>
    <row r="162" spans="2:23" x14ac:dyDescent="0.2">
      <c r="B162" s="18" t="s">
        <v>365</v>
      </c>
      <c r="C162" s="2" t="s">
        <v>373</v>
      </c>
      <c r="D162" s="3" t="s">
        <v>373</v>
      </c>
      <c r="E162" s="6" t="s">
        <v>367</v>
      </c>
      <c r="F162" s="4" t="s">
        <v>368</v>
      </c>
      <c r="G162" s="5" t="s">
        <v>372</v>
      </c>
      <c r="H162" s="7" t="s">
        <v>374</v>
      </c>
      <c r="I162" s="24" t="s">
        <v>27</v>
      </c>
      <c r="J162" s="24" t="s">
        <v>370</v>
      </c>
      <c r="K162" s="25" t="s">
        <v>29</v>
      </c>
      <c r="L162" s="25" t="s">
        <v>48</v>
      </c>
      <c r="M162" s="15" t="s">
        <v>31</v>
      </c>
      <c r="N162" s="16" t="str">
        <f>Tabla14[[#This Row],[ABR_02]]</f>
        <v>BA</v>
      </c>
      <c r="O162" t="s">
        <v>32</v>
      </c>
      <c r="P162" t="s">
        <v>33</v>
      </c>
      <c r="Q162" t="s">
        <v>32</v>
      </c>
      <c r="R162" t="s">
        <v>35</v>
      </c>
      <c r="S162" t="str">
        <f>_xlfn.CONCAT(Tabla14[[#This Row],[ABR_01]],"X",Tabla14[[#This Row],[ABR_02]],Tabla14[[#This Row],[ZONA2]],,"X",Tabla14[[#This Row],[PARADA2]])</f>
        <v>ARXBA1X03</v>
      </c>
      <c r="T162" t="str">
        <f>Tabla14[[#This Row],[ABR_01]]&amp;Tabla14[[#This Row],[ABR_02]]&amp;Tabla14[[#This Row],[PARADA2]]</f>
        <v>ARBA03</v>
      </c>
      <c r="U162" s="37" t="s">
        <v>36</v>
      </c>
      <c r="V162" s="37" t="s">
        <v>36</v>
      </c>
      <c r="W162">
        <f>LEN(Tabla14[[#This Row],[Transport Zone 2]])</f>
        <v>9</v>
      </c>
    </row>
    <row r="163" spans="2:23" x14ac:dyDescent="0.2">
      <c r="B163" s="18" t="s">
        <v>365</v>
      </c>
      <c r="C163" s="2" t="s">
        <v>375</v>
      </c>
      <c r="D163" s="3" t="s">
        <v>375</v>
      </c>
      <c r="E163" s="6" t="s">
        <v>367</v>
      </c>
      <c r="F163" s="4" t="s">
        <v>368</v>
      </c>
      <c r="G163" s="5" t="s">
        <v>376</v>
      </c>
      <c r="H163" s="4" t="s">
        <v>376</v>
      </c>
      <c r="I163" s="24" t="s">
        <v>27</v>
      </c>
      <c r="J163" s="24" t="s">
        <v>370</v>
      </c>
      <c r="K163" s="25" t="s">
        <v>29</v>
      </c>
      <c r="L163" s="25" t="s">
        <v>51</v>
      </c>
      <c r="M163" s="15" t="s">
        <v>31</v>
      </c>
      <c r="N163" s="16" t="str">
        <f>Tabla14[[#This Row],[ABR_02]]</f>
        <v>BA</v>
      </c>
      <c r="O163" t="s">
        <v>32</v>
      </c>
      <c r="P163" t="s">
        <v>33</v>
      </c>
      <c r="Q163" t="s">
        <v>32</v>
      </c>
      <c r="R163" t="s">
        <v>35</v>
      </c>
      <c r="S163" t="str">
        <f>_xlfn.CONCAT(Tabla14[[#This Row],[ABR_01]],"X",Tabla14[[#This Row],[ABR_02]],Tabla14[[#This Row],[ZONA2]],,"X",Tabla14[[#This Row],[PARADA2]])</f>
        <v>ARXBA1X04</v>
      </c>
      <c r="T163" t="str">
        <f>Tabla14[[#This Row],[ABR_01]]&amp;Tabla14[[#This Row],[ABR_02]]&amp;Tabla14[[#This Row],[PARADA2]]</f>
        <v>ARBA04</v>
      </c>
      <c r="U163" s="37" t="s">
        <v>36</v>
      </c>
      <c r="V163" s="37" t="s">
        <v>36</v>
      </c>
      <c r="W163">
        <f>LEN(Tabla14[[#This Row],[Transport Zone 2]])</f>
        <v>9</v>
      </c>
    </row>
    <row r="164" spans="2:23" x14ac:dyDescent="0.2">
      <c r="B164" s="18" t="s">
        <v>365</v>
      </c>
      <c r="C164" s="2" t="s">
        <v>377</v>
      </c>
      <c r="D164" s="3" t="s">
        <v>377</v>
      </c>
      <c r="E164" s="6" t="s">
        <v>367</v>
      </c>
      <c r="F164" s="4" t="s">
        <v>368</v>
      </c>
      <c r="G164" s="4" t="s">
        <v>372</v>
      </c>
      <c r="H164" s="7" t="s">
        <v>378</v>
      </c>
      <c r="I164" s="24" t="s">
        <v>27</v>
      </c>
      <c r="J164" s="24" t="s">
        <v>370</v>
      </c>
      <c r="K164" s="25" t="s">
        <v>29</v>
      </c>
      <c r="L164" s="25" t="s">
        <v>65</v>
      </c>
      <c r="M164" s="15" t="s">
        <v>31</v>
      </c>
      <c r="N164" s="16" t="str">
        <f>Tabla14[[#This Row],[ABR_02]]</f>
        <v>BA</v>
      </c>
      <c r="O164" t="s">
        <v>32</v>
      </c>
      <c r="P164" t="s">
        <v>33</v>
      </c>
      <c r="Q164" t="s">
        <v>32</v>
      </c>
      <c r="R164" t="s">
        <v>35</v>
      </c>
      <c r="S164" t="str">
        <f>_xlfn.CONCAT(Tabla14[[#This Row],[ABR_01]],"X",Tabla14[[#This Row],[ABR_02]],Tabla14[[#This Row],[ZONA2]],,"X",Tabla14[[#This Row],[PARADA2]])</f>
        <v>ARXBA1X05</v>
      </c>
      <c r="T164" t="str">
        <f>Tabla14[[#This Row],[ABR_01]]&amp;Tabla14[[#This Row],[ABR_02]]&amp;Tabla14[[#This Row],[PARADA2]]</f>
        <v>ARBA05</v>
      </c>
      <c r="U164" s="37" t="s">
        <v>36</v>
      </c>
      <c r="V164" s="37" t="s">
        <v>36</v>
      </c>
      <c r="W164">
        <f>LEN(Tabla14[[#This Row],[Transport Zone 2]])</f>
        <v>9</v>
      </c>
    </row>
    <row r="165" spans="2:23" x14ac:dyDescent="0.2">
      <c r="B165" s="18" t="s">
        <v>365</v>
      </c>
      <c r="C165" s="2" t="s">
        <v>379</v>
      </c>
      <c r="D165" s="3" t="s">
        <v>379</v>
      </c>
      <c r="E165" s="6" t="s">
        <v>367</v>
      </c>
      <c r="F165" s="4" t="s">
        <v>368</v>
      </c>
      <c r="G165" s="4" t="s">
        <v>372</v>
      </c>
      <c r="H165" s="7" t="s">
        <v>380</v>
      </c>
      <c r="I165" s="24" t="s">
        <v>27</v>
      </c>
      <c r="J165" s="24" t="s">
        <v>370</v>
      </c>
      <c r="K165" s="25" t="s">
        <v>29</v>
      </c>
      <c r="L165" s="25" t="s">
        <v>67</v>
      </c>
      <c r="M165" s="15" t="s">
        <v>31</v>
      </c>
      <c r="N165" s="16" t="str">
        <f>Tabla14[[#This Row],[ABR_02]]</f>
        <v>BA</v>
      </c>
      <c r="O165" t="s">
        <v>32</v>
      </c>
      <c r="P165" t="s">
        <v>33</v>
      </c>
      <c r="Q165" t="s">
        <v>32</v>
      </c>
      <c r="R165" t="s">
        <v>35</v>
      </c>
      <c r="S165" t="str">
        <f>_xlfn.CONCAT(Tabla14[[#This Row],[ABR_01]],"X",Tabla14[[#This Row],[ABR_02]],Tabla14[[#This Row],[ZONA2]],,"X",Tabla14[[#This Row],[PARADA2]])</f>
        <v>ARXBA1X06</v>
      </c>
      <c r="T165" t="str">
        <f>Tabla14[[#This Row],[ABR_01]]&amp;Tabla14[[#This Row],[ABR_02]]&amp;Tabla14[[#This Row],[PARADA2]]</f>
        <v>ARBA06</v>
      </c>
      <c r="U165" s="37" t="s">
        <v>36</v>
      </c>
      <c r="V165" s="37" t="s">
        <v>36</v>
      </c>
      <c r="W165">
        <f>LEN(Tabla14[[#This Row],[Transport Zone 2]])</f>
        <v>9</v>
      </c>
    </row>
    <row r="166" spans="2:23" x14ac:dyDescent="0.2">
      <c r="B166" s="18" t="s">
        <v>365</v>
      </c>
      <c r="C166" s="2" t="s">
        <v>381</v>
      </c>
      <c r="D166" s="3" t="s">
        <v>381</v>
      </c>
      <c r="E166" s="6" t="s">
        <v>367</v>
      </c>
      <c r="F166" s="4" t="s">
        <v>368</v>
      </c>
      <c r="G166" s="4" t="s">
        <v>372</v>
      </c>
      <c r="H166" s="7" t="s">
        <v>382</v>
      </c>
      <c r="I166" s="24" t="s">
        <v>27</v>
      </c>
      <c r="J166" s="24" t="s">
        <v>370</v>
      </c>
      <c r="K166" s="25" t="s">
        <v>29</v>
      </c>
      <c r="L166" s="25" t="s">
        <v>70</v>
      </c>
      <c r="M166" s="15" t="s">
        <v>31</v>
      </c>
      <c r="N166" s="16" t="str">
        <f>Tabla14[[#This Row],[ABR_02]]</f>
        <v>BA</v>
      </c>
      <c r="O166" t="s">
        <v>32</v>
      </c>
      <c r="P166" t="s">
        <v>33</v>
      </c>
      <c r="Q166" t="s">
        <v>32</v>
      </c>
      <c r="R166" t="s">
        <v>35</v>
      </c>
      <c r="S166" t="str">
        <f>_xlfn.CONCAT(Tabla14[[#This Row],[ABR_01]],"X",Tabla14[[#This Row],[ABR_02]],Tabla14[[#This Row],[ZONA2]],,"X",Tabla14[[#This Row],[PARADA2]])</f>
        <v>ARXBA1X07</v>
      </c>
      <c r="T166" t="str">
        <f>Tabla14[[#This Row],[ABR_01]]&amp;Tabla14[[#This Row],[ABR_02]]&amp;Tabla14[[#This Row],[PARADA2]]</f>
        <v>ARBA07</v>
      </c>
      <c r="U166" s="37" t="s">
        <v>36</v>
      </c>
      <c r="V166" s="37" t="s">
        <v>36</v>
      </c>
      <c r="W166">
        <f>LEN(Tabla14[[#This Row],[Transport Zone 2]])</f>
        <v>9</v>
      </c>
    </row>
    <row r="167" spans="2:23" x14ac:dyDescent="0.2">
      <c r="B167" s="18" t="s">
        <v>365</v>
      </c>
      <c r="C167" s="2" t="s">
        <v>383</v>
      </c>
      <c r="D167" s="3" t="s">
        <v>383</v>
      </c>
      <c r="E167" s="6" t="s">
        <v>367</v>
      </c>
      <c r="F167" s="4" t="s">
        <v>368</v>
      </c>
      <c r="G167" s="4" t="s">
        <v>372</v>
      </c>
      <c r="H167" s="7" t="s">
        <v>384</v>
      </c>
      <c r="I167" s="24" t="s">
        <v>27</v>
      </c>
      <c r="J167" s="24" t="s">
        <v>370</v>
      </c>
      <c r="K167" s="25" t="s">
        <v>29</v>
      </c>
      <c r="L167" s="25" t="s">
        <v>73</v>
      </c>
      <c r="M167" s="15" t="s">
        <v>31</v>
      </c>
      <c r="N167" s="16" t="str">
        <f>Tabla14[[#This Row],[ABR_02]]</f>
        <v>BA</v>
      </c>
      <c r="O167" t="s">
        <v>32</v>
      </c>
      <c r="P167" t="s">
        <v>33</v>
      </c>
      <c r="Q167" t="s">
        <v>32</v>
      </c>
      <c r="R167" t="s">
        <v>35</v>
      </c>
      <c r="S167" t="str">
        <f>_xlfn.CONCAT(Tabla14[[#This Row],[ABR_01]],"X",Tabla14[[#This Row],[ABR_02]],Tabla14[[#This Row],[ZONA2]],,"X",Tabla14[[#This Row],[PARADA2]])</f>
        <v>ARXBA1X08</v>
      </c>
      <c r="T167" t="str">
        <f>Tabla14[[#This Row],[ABR_01]]&amp;Tabla14[[#This Row],[ABR_02]]&amp;Tabla14[[#This Row],[PARADA2]]</f>
        <v>ARBA08</v>
      </c>
      <c r="U167" s="37" t="s">
        <v>36</v>
      </c>
      <c r="V167" s="37" t="s">
        <v>36</v>
      </c>
      <c r="W167">
        <f>LEN(Tabla14[[#This Row],[Transport Zone 2]])</f>
        <v>9</v>
      </c>
    </row>
    <row r="168" spans="2:23" hidden="1" x14ac:dyDescent="0.2">
      <c r="B168" s="19" t="s">
        <v>40</v>
      </c>
      <c r="C168" s="8" t="s">
        <v>385</v>
      </c>
      <c r="D168" s="17" t="s">
        <v>386</v>
      </c>
      <c r="E168" s="9" t="s">
        <v>367</v>
      </c>
      <c r="F168" s="10" t="s">
        <v>387</v>
      </c>
      <c r="G168" s="11" t="s">
        <v>388</v>
      </c>
      <c r="H168" s="10">
        <v>885</v>
      </c>
      <c r="I168" s="24" t="s">
        <v>27</v>
      </c>
      <c r="J168" s="24" t="s">
        <v>370</v>
      </c>
      <c r="K168" s="25" t="s">
        <v>29</v>
      </c>
      <c r="L168" s="25" t="s">
        <v>125</v>
      </c>
      <c r="M168" s="15" t="s">
        <v>31</v>
      </c>
      <c r="N168" s="16" t="str">
        <f>Tabla14[[#This Row],[ABR_02]]</f>
        <v>BA</v>
      </c>
      <c r="O168" t="s">
        <v>32</v>
      </c>
      <c r="P168" t="s">
        <v>33</v>
      </c>
      <c r="Q168" t="s">
        <v>32</v>
      </c>
      <c r="R168" t="s">
        <v>35</v>
      </c>
      <c r="S168" t="str">
        <f>_xlfn.CONCAT(Tabla14[[#This Row],[ABR_01]],"X",Tabla14[[#This Row],[ABR_02]],Tabla14[[#This Row],[ZONA2]],,"X",Tabla14[[#This Row],[PARADA2]])</f>
        <v>ARXBA1X09</v>
      </c>
      <c r="T168" t="str">
        <f>Tabla14[[#This Row],[ABR_01]]&amp;Tabla14[[#This Row],[ABR_02]]&amp;Tabla14[[#This Row],[PARADA2]]</f>
        <v>ARBA09</v>
      </c>
      <c r="U168" s="37" t="s">
        <v>36</v>
      </c>
      <c r="V168" s="37" t="s">
        <v>36</v>
      </c>
      <c r="W168">
        <f>LEN(Tabla14[[#This Row],[Transport Zone 2]])</f>
        <v>9</v>
      </c>
    </row>
    <row r="169" spans="2:23" hidden="1" x14ac:dyDescent="0.2">
      <c r="B169" s="19" t="s">
        <v>40</v>
      </c>
      <c r="C169" s="8" t="s">
        <v>389</v>
      </c>
      <c r="D169" s="17" t="s">
        <v>390</v>
      </c>
      <c r="E169" s="9" t="s">
        <v>367</v>
      </c>
      <c r="F169" s="10" t="s">
        <v>387</v>
      </c>
      <c r="G169" s="11" t="s">
        <v>388</v>
      </c>
      <c r="H169" s="10">
        <v>856</v>
      </c>
      <c r="I169" s="24" t="s">
        <v>27</v>
      </c>
      <c r="J169" s="24" t="s">
        <v>370</v>
      </c>
      <c r="K169" s="25" t="s">
        <v>29</v>
      </c>
      <c r="L169" s="25" t="s">
        <v>128</v>
      </c>
      <c r="M169" s="15" t="s">
        <v>31</v>
      </c>
      <c r="N169" s="16" t="str">
        <f>Tabla14[[#This Row],[ABR_02]]</f>
        <v>BA</v>
      </c>
      <c r="O169" t="s">
        <v>32</v>
      </c>
      <c r="P169" t="s">
        <v>33</v>
      </c>
      <c r="Q169" t="s">
        <v>32</v>
      </c>
      <c r="R169" t="s">
        <v>35</v>
      </c>
      <c r="S169" t="str">
        <f>_xlfn.CONCAT(Tabla14[[#This Row],[ABR_01]],"X",Tabla14[[#This Row],[ABR_02]],Tabla14[[#This Row],[ZONA2]],,"X",Tabla14[[#This Row],[PARADA2]])</f>
        <v>ARXBA1X10</v>
      </c>
      <c r="T169" t="str">
        <f>Tabla14[[#This Row],[ABR_01]]&amp;Tabla14[[#This Row],[ABR_02]]&amp;Tabla14[[#This Row],[PARADA2]]</f>
        <v>ARBA10</v>
      </c>
      <c r="U169" s="37" t="s">
        <v>36</v>
      </c>
      <c r="V169" s="37" t="s">
        <v>36</v>
      </c>
      <c r="W169">
        <f>LEN(Tabla14[[#This Row],[Transport Zone 2]])</f>
        <v>9</v>
      </c>
    </row>
    <row r="170" spans="2:23" hidden="1" x14ac:dyDescent="0.2">
      <c r="B170" s="19" t="s">
        <v>40</v>
      </c>
      <c r="C170" s="8" t="s">
        <v>391</v>
      </c>
      <c r="D170" s="12" t="s">
        <v>392</v>
      </c>
      <c r="E170" s="9" t="s">
        <v>367</v>
      </c>
      <c r="F170" s="10" t="s">
        <v>387</v>
      </c>
      <c r="G170" s="11" t="s">
        <v>388</v>
      </c>
      <c r="H170" s="10">
        <v>823</v>
      </c>
      <c r="I170" s="24" t="s">
        <v>27</v>
      </c>
      <c r="J170" s="24" t="s">
        <v>370</v>
      </c>
      <c r="K170" s="25" t="s">
        <v>29</v>
      </c>
      <c r="L170" s="25" t="s">
        <v>130</v>
      </c>
      <c r="M170" s="15" t="s">
        <v>31</v>
      </c>
      <c r="N170" s="16" t="str">
        <f>Tabla14[[#This Row],[ABR_02]]</f>
        <v>BA</v>
      </c>
      <c r="O170" t="s">
        <v>32</v>
      </c>
      <c r="P170" t="s">
        <v>33</v>
      </c>
      <c r="Q170" t="s">
        <v>32</v>
      </c>
      <c r="R170" t="s">
        <v>35</v>
      </c>
      <c r="S170" t="str">
        <f>_xlfn.CONCAT(Tabla14[[#This Row],[ABR_01]],"X",Tabla14[[#This Row],[ABR_02]],Tabla14[[#This Row],[ZONA2]],,"X",Tabla14[[#This Row],[PARADA2]])</f>
        <v>ARXBA1X11</v>
      </c>
      <c r="T170" t="str">
        <f>Tabla14[[#This Row],[ABR_01]]&amp;Tabla14[[#This Row],[ABR_02]]&amp;Tabla14[[#This Row],[PARADA2]]</f>
        <v>ARBA11</v>
      </c>
      <c r="U170" s="37" t="s">
        <v>36</v>
      </c>
      <c r="V170" s="37" t="s">
        <v>36</v>
      </c>
      <c r="W170">
        <f>LEN(Tabla14[[#This Row],[Transport Zone 2]])</f>
        <v>9</v>
      </c>
    </row>
    <row r="171" spans="2:23" hidden="1" x14ac:dyDescent="0.2">
      <c r="B171" s="19" t="s">
        <v>40</v>
      </c>
      <c r="C171" s="8" t="s">
        <v>393</v>
      </c>
      <c r="D171" s="12" t="s">
        <v>394</v>
      </c>
      <c r="E171" s="9" t="s">
        <v>367</v>
      </c>
      <c r="F171" s="10" t="s">
        <v>387</v>
      </c>
      <c r="G171" s="11" t="s">
        <v>388</v>
      </c>
      <c r="H171" s="10">
        <v>870</v>
      </c>
      <c r="I171" s="24" t="s">
        <v>27</v>
      </c>
      <c r="J171" s="24" t="s">
        <v>370</v>
      </c>
      <c r="K171" s="25" t="s">
        <v>29</v>
      </c>
      <c r="L171" s="25" t="s">
        <v>132</v>
      </c>
      <c r="M171" s="15" t="s">
        <v>31</v>
      </c>
      <c r="N171" s="16" t="str">
        <f>Tabla14[[#This Row],[ABR_02]]</f>
        <v>BA</v>
      </c>
      <c r="O171" t="s">
        <v>32</v>
      </c>
      <c r="P171" t="s">
        <v>33</v>
      </c>
      <c r="Q171" t="s">
        <v>32</v>
      </c>
      <c r="R171" t="s">
        <v>35</v>
      </c>
      <c r="S171" t="str">
        <f>_xlfn.CONCAT(Tabla14[[#This Row],[ABR_01]],"X",Tabla14[[#This Row],[ABR_02]],Tabla14[[#This Row],[ZONA2]],,"X",Tabla14[[#This Row],[PARADA2]])</f>
        <v>ARXBA1X12</v>
      </c>
      <c r="T171" t="str">
        <f>Tabla14[[#This Row],[ABR_01]]&amp;Tabla14[[#This Row],[ABR_02]]&amp;Tabla14[[#This Row],[PARADA2]]</f>
        <v>ARBA12</v>
      </c>
      <c r="U171" s="37" t="s">
        <v>36</v>
      </c>
      <c r="V171" s="37" t="s">
        <v>36</v>
      </c>
      <c r="W171">
        <f>LEN(Tabla14[[#This Row],[Transport Zone 2]])</f>
        <v>9</v>
      </c>
    </row>
    <row r="172" spans="2:23" hidden="1" x14ac:dyDescent="0.2">
      <c r="B172" s="19" t="s">
        <v>40</v>
      </c>
      <c r="C172" s="8" t="s">
        <v>395</v>
      </c>
      <c r="D172" s="17" t="s">
        <v>396</v>
      </c>
      <c r="E172" s="9" t="s">
        <v>367</v>
      </c>
      <c r="F172" s="10" t="s">
        <v>387</v>
      </c>
      <c r="G172" s="11" t="s">
        <v>388</v>
      </c>
      <c r="H172" s="10">
        <v>880</v>
      </c>
      <c r="I172" s="24" t="s">
        <v>27</v>
      </c>
      <c r="J172" s="24" t="s">
        <v>370</v>
      </c>
      <c r="K172" s="25" t="s">
        <v>29</v>
      </c>
      <c r="L172" s="25" t="s">
        <v>134</v>
      </c>
      <c r="M172" s="15" t="s">
        <v>31</v>
      </c>
      <c r="N172" s="16" t="str">
        <f>Tabla14[[#This Row],[ABR_02]]</f>
        <v>BA</v>
      </c>
      <c r="O172" t="s">
        <v>32</v>
      </c>
      <c r="P172" t="s">
        <v>33</v>
      </c>
      <c r="Q172" t="s">
        <v>32</v>
      </c>
      <c r="R172" t="s">
        <v>35</v>
      </c>
      <c r="S172" t="str">
        <f>_xlfn.CONCAT(Tabla14[[#This Row],[ABR_01]],"X",Tabla14[[#This Row],[ABR_02]],Tabla14[[#This Row],[ZONA2]],,"X",Tabla14[[#This Row],[PARADA2]])</f>
        <v>ARXBA1X13</v>
      </c>
      <c r="T172" t="str">
        <f>Tabla14[[#This Row],[ABR_01]]&amp;Tabla14[[#This Row],[ABR_02]]&amp;Tabla14[[#This Row],[PARADA2]]</f>
        <v>ARBA13</v>
      </c>
      <c r="U172" s="37" t="s">
        <v>36</v>
      </c>
      <c r="V172" s="37" t="s">
        <v>36</v>
      </c>
      <c r="W172">
        <f>LEN(Tabla14[[#This Row],[Transport Zone 2]])</f>
        <v>9</v>
      </c>
    </row>
    <row r="173" spans="2:23" hidden="1" x14ac:dyDescent="0.2">
      <c r="B173" s="19" t="s">
        <v>40</v>
      </c>
      <c r="C173" s="8" t="s">
        <v>397</v>
      </c>
      <c r="D173" s="12" t="s">
        <v>398</v>
      </c>
      <c r="E173" s="9" t="s">
        <v>367</v>
      </c>
      <c r="F173" s="10" t="s">
        <v>387</v>
      </c>
      <c r="G173" s="11" t="s">
        <v>388</v>
      </c>
      <c r="H173" s="10">
        <v>890</v>
      </c>
      <c r="I173" s="24" t="s">
        <v>27</v>
      </c>
      <c r="J173" s="24" t="s">
        <v>370</v>
      </c>
      <c r="K173" s="25" t="s">
        <v>29</v>
      </c>
      <c r="L173" s="25" t="s">
        <v>137</v>
      </c>
      <c r="M173" s="15" t="s">
        <v>31</v>
      </c>
      <c r="N173" s="16" t="str">
        <f>Tabla14[[#This Row],[ABR_02]]</f>
        <v>BA</v>
      </c>
      <c r="O173" t="s">
        <v>32</v>
      </c>
      <c r="P173" t="s">
        <v>33</v>
      </c>
      <c r="Q173" t="s">
        <v>32</v>
      </c>
      <c r="R173" t="s">
        <v>35</v>
      </c>
      <c r="S173" t="str">
        <f>_xlfn.CONCAT(Tabla14[[#This Row],[ABR_01]],"X",Tabla14[[#This Row],[ABR_02]],Tabla14[[#This Row],[ZONA2]],,"X",Tabla14[[#This Row],[PARADA2]])</f>
        <v>ARXBA1X14</v>
      </c>
      <c r="T173" t="str">
        <f>Tabla14[[#This Row],[ABR_01]]&amp;Tabla14[[#This Row],[ABR_02]]&amp;Tabla14[[#This Row],[PARADA2]]</f>
        <v>ARBA14</v>
      </c>
      <c r="U173" s="37" t="s">
        <v>36</v>
      </c>
      <c r="V173" s="37" t="s">
        <v>36</v>
      </c>
      <c r="W173">
        <f>LEN(Tabla14[[#This Row],[Transport Zone 2]])</f>
        <v>9</v>
      </c>
    </row>
    <row r="174" spans="2:23" hidden="1" x14ac:dyDescent="0.2">
      <c r="B174" s="19" t="s">
        <v>40</v>
      </c>
      <c r="C174" s="8" t="s">
        <v>399</v>
      </c>
      <c r="D174" s="12" t="s">
        <v>400</v>
      </c>
      <c r="E174" s="9" t="s">
        <v>367</v>
      </c>
      <c r="F174" s="10" t="s">
        <v>387</v>
      </c>
      <c r="G174" s="11" t="s">
        <v>388</v>
      </c>
      <c r="H174" s="10">
        <v>860</v>
      </c>
      <c r="I174" s="24" t="s">
        <v>27</v>
      </c>
      <c r="J174" s="24" t="s">
        <v>370</v>
      </c>
      <c r="K174" s="25" t="s">
        <v>29</v>
      </c>
      <c r="L174" s="25" t="s">
        <v>140</v>
      </c>
      <c r="M174" s="15" t="s">
        <v>31</v>
      </c>
      <c r="N174" s="16" t="str">
        <f>Tabla14[[#This Row],[ABR_02]]</f>
        <v>BA</v>
      </c>
      <c r="O174" t="s">
        <v>32</v>
      </c>
      <c r="P174" t="s">
        <v>33</v>
      </c>
      <c r="Q174" t="s">
        <v>32</v>
      </c>
      <c r="R174" t="s">
        <v>35</v>
      </c>
      <c r="S174" t="str">
        <f>_xlfn.CONCAT(Tabla14[[#This Row],[ABR_01]],"X",Tabla14[[#This Row],[ABR_02]],Tabla14[[#This Row],[ZONA2]],,"X",Tabla14[[#This Row],[PARADA2]])</f>
        <v>ARXBA1X15</v>
      </c>
      <c r="T174" t="str">
        <f>Tabla14[[#This Row],[ABR_01]]&amp;Tabla14[[#This Row],[ABR_02]]&amp;Tabla14[[#This Row],[PARADA2]]</f>
        <v>ARBA15</v>
      </c>
      <c r="U174" s="37" t="s">
        <v>36</v>
      </c>
      <c r="V174" s="37" t="s">
        <v>36</v>
      </c>
      <c r="W174">
        <f>LEN(Tabla14[[#This Row],[Transport Zone 2]])</f>
        <v>9</v>
      </c>
    </row>
    <row r="175" spans="2:23" hidden="1" x14ac:dyDescent="0.2">
      <c r="B175" s="19" t="s">
        <v>40</v>
      </c>
      <c r="C175" s="8" t="s">
        <v>401</v>
      </c>
      <c r="D175" s="17" t="s">
        <v>402</v>
      </c>
      <c r="E175" s="9" t="s">
        <v>367</v>
      </c>
      <c r="F175" s="10" t="s">
        <v>387</v>
      </c>
      <c r="G175" s="11" t="s">
        <v>388</v>
      </c>
      <c r="H175" s="10">
        <v>854</v>
      </c>
      <c r="I175" s="24" t="s">
        <v>27</v>
      </c>
      <c r="J175" s="24" t="s">
        <v>370</v>
      </c>
      <c r="K175" s="25" t="s">
        <v>29</v>
      </c>
      <c r="L175" s="25" t="s">
        <v>143</v>
      </c>
      <c r="M175" s="15" t="s">
        <v>31</v>
      </c>
      <c r="N175" s="16" t="str">
        <f>Tabla14[[#This Row],[ABR_02]]</f>
        <v>BA</v>
      </c>
      <c r="O175" t="s">
        <v>32</v>
      </c>
      <c r="P175" t="s">
        <v>33</v>
      </c>
      <c r="Q175" t="s">
        <v>32</v>
      </c>
      <c r="R175" t="s">
        <v>35</v>
      </c>
      <c r="S175" t="str">
        <f>_xlfn.CONCAT(Tabla14[[#This Row],[ABR_01]],"X",Tabla14[[#This Row],[ABR_02]],Tabla14[[#This Row],[ZONA2]],,"X",Tabla14[[#This Row],[PARADA2]])</f>
        <v>ARXBA1X16</v>
      </c>
      <c r="T175" t="str">
        <f>Tabla14[[#This Row],[ABR_01]]&amp;Tabla14[[#This Row],[ABR_02]]&amp;Tabla14[[#This Row],[PARADA2]]</f>
        <v>ARBA16</v>
      </c>
      <c r="U175" s="37" t="s">
        <v>36</v>
      </c>
      <c r="V175" s="37" t="s">
        <v>36</v>
      </c>
      <c r="W175">
        <f>LEN(Tabla14[[#This Row],[Transport Zone 2]])</f>
        <v>9</v>
      </c>
    </row>
    <row r="176" spans="2:23" hidden="1" x14ac:dyDescent="0.2">
      <c r="B176" s="19" t="s">
        <v>40</v>
      </c>
      <c r="C176" s="8" t="s">
        <v>403</v>
      </c>
      <c r="D176" s="17" t="s">
        <v>404</v>
      </c>
      <c r="E176" s="9" t="s">
        <v>367</v>
      </c>
      <c r="F176" s="10" t="s">
        <v>387</v>
      </c>
      <c r="G176" s="11" t="s">
        <v>388</v>
      </c>
      <c r="H176" s="10">
        <v>852</v>
      </c>
      <c r="I176" s="24" t="s">
        <v>27</v>
      </c>
      <c r="J176" s="24" t="s">
        <v>370</v>
      </c>
      <c r="K176" s="25" t="s">
        <v>29</v>
      </c>
      <c r="L176" s="25" t="s">
        <v>146</v>
      </c>
      <c r="M176" s="15" t="s">
        <v>31</v>
      </c>
      <c r="N176" s="16" t="str">
        <f>Tabla14[[#This Row],[ABR_02]]</f>
        <v>BA</v>
      </c>
      <c r="O176" t="s">
        <v>32</v>
      </c>
      <c r="P176" t="s">
        <v>33</v>
      </c>
      <c r="Q176" t="s">
        <v>32</v>
      </c>
      <c r="R176" t="s">
        <v>35</v>
      </c>
      <c r="S176" t="str">
        <f>_xlfn.CONCAT(Tabla14[[#This Row],[ABR_01]],"X",Tabla14[[#This Row],[ABR_02]],Tabla14[[#This Row],[ZONA2]],,"X",Tabla14[[#This Row],[PARADA2]])</f>
        <v>ARXBA1X17</v>
      </c>
      <c r="T176" t="str">
        <f>Tabla14[[#This Row],[ABR_01]]&amp;Tabla14[[#This Row],[ABR_02]]&amp;Tabla14[[#This Row],[PARADA2]]</f>
        <v>ARBA17</v>
      </c>
      <c r="U176" s="37" t="s">
        <v>36</v>
      </c>
      <c r="V176" s="37" t="s">
        <v>36</v>
      </c>
      <c r="W176">
        <f>LEN(Tabla14[[#This Row],[Transport Zone 2]])</f>
        <v>9</v>
      </c>
    </row>
    <row r="177" spans="2:23" hidden="1" x14ac:dyDescent="0.2">
      <c r="B177" s="19" t="s">
        <v>40</v>
      </c>
      <c r="C177" s="8" t="s">
        <v>405</v>
      </c>
      <c r="D177" s="17" t="s">
        <v>406</v>
      </c>
      <c r="E177" s="9" t="s">
        <v>367</v>
      </c>
      <c r="F177" s="10" t="s">
        <v>387</v>
      </c>
      <c r="G177" s="11" t="s">
        <v>388</v>
      </c>
      <c r="H177" s="10">
        <v>858</v>
      </c>
      <c r="I177" s="24" t="s">
        <v>27</v>
      </c>
      <c r="J177" s="24" t="s">
        <v>370</v>
      </c>
      <c r="K177" s="25" t="s">
        <v>29</v>
      </c>
      <c r="L177" s="25" t="s">
        <v>148</v>
      </c>
      <c r="M177" s="15" t="s">
        <v>31</v>
      </c>
      <c r="N177" s="16" t="str">
        <f>Tabla14[[#This Row],[ABR_02]]</f>
        <v>BA</v>
      </c>
      <c r="O177" t="s">
        <v>32</v>
      </c>
      <c r="P177" t="s">
        <v>33</v>
      </c>
      <c r="Q177" t="s">
        <v>32</v>
      </c>
      <c r="R177" t="s">
        <v>35</v>
      </c>
      <c r="S177" t="str">
        <f>_xlfn.CONCAT(Tabla14[[#This Row],[ABR_01]],"X",Tabla14[[#This Row],[ABR_02]],Tabla14[[#This Row],[ZONA2]],,"X",Tabla14[[#This Row],[PARADA2]])</f>
        <v>ARXBA1X18</v>
      </c>
      <c r="T177" t="str">
        <f>Tabla14[[#This Row],[ABR_01]]&amp;Tabla14[[#This Row],[ABR_02]]&amp;Tabla14[[#This Row],[PARADA2]]</f>
        <v>ARBA18</v>
      </c>
      <c r="U177" s="37" t="s">
        <v>36</v>
      </c>
      <c r="V177" s="37" t="s">
        <v>36</v>
      </c>
      <c r="W177">
        <f>LEN(Tabla14[[#This Row],[Transport Zone 2]])</f>
        <v>9</v>
      </c>
    </row>
    <row r="178" spans="2:23" hidden="1" x14ac:dyDescent="0.2">
      <c r="B178" s="19" t="s">
        <v>40</v>
      </c>
      <c r="C178" s="8" t="s">
        <v>407</v>
      </c>
      <c r="D178" s="17" t="s">
        <v>408</v>
      </c>
      <c r="E178" s="9" t="s">
        <v>367</v>
      </c>
      <c r="F178" s="10" t="s">
        <v>43</v>
      </c>
      <c r="G178" s="11">
        <v>283</v>
      </c>
      <c r="H178" s="10">
        <v>900</v>
      </c>
      <c r="I178" s="24" t="s">
        <v>27</v>
      </c>
      <c r="J178" s="24" t="s">
        <v>370</v>
      </c>
      <c r="K178" s="25" t="s">
        <v>409</v>
      </c>
      <c r="L178" s="25" t="s">
        <v>410</v>
      </c>
      <c r="M178" s="15" t="s">
        <v>31</v>
      </c>
      <c r="N178" s="16" t="str">
        <f>Tabla14[[#This Row],[ABR_02]]</f>
        <v>BA</v>
      </c>
      <c r="O178" t="s">
        <v>32</v>
      </c>
      <c r="P178" t="s">
        <v>33</v>
      </c>
      <c r="Q178" t="s">
        <v>32</v>
      </c>
      <c r="R178" t="s">
        <v>35</v>
      </c>
      <c r="S178" t="str">
        <f>_xlfn.CONCAT(Tabla14[[#This Row],[ABR_01]],"X",Tabla14[[#This Row],[ABR_02]],Tabla14[[#This Row],[ZONA2]],,"X",Tabla14[[#This Row],[PARADA2]])</f>
        <v>ARXBA4X44</v>
      </c>
      <c r="T178" t="str">
        <f>Tabla14[[#This Row],[ABR_01]]&amp;Tabla14[[#This Row],[ABR_02]]&amp;Tabla14[[#This Row],[PARADA2]]</f>
        <v>ARBA44</v>
      </c>
      <c r="U178" s="37" t="s">
        <v>36</v>
      </c>
      <c r="V178" s="37" t="s">
        <v>36</v>
      </c>
      <c r="W178">
        <f>LEN(Tabla14[[#This Row],[Transport Zone 2]])</f>
        <v>9</v>
      </c>
    </row>
    <row r="179" spans="2:23" hidden="1" x14ac:dyDescent="0.2">
      <c r="B179" s="19" t="s">
        <v>40</v>
      </c>
      <c r="C179" s="8" t="s">
        <v>411</v>
      </c>
      <c r="D179" s="12" t="s">
        <v>412</v>
      </c>
      <c r="E179" s="9" t="s">
        <v>367</v>
      </c>
      <c r="F179" s="10" t="s">
        <v>272</v>
      </c>
      <c r="G179" s="13" t="s">
        <v>413</v>
      </c>
      <c r="H179" s="10">
        <v>825</v>
      </c>
      <c r="I179" s="24" t="s">
        <v>27</v>
      </c>
      <c r="J179" s="24" t="s">
        <v>370</v>
      </c>
      <c r="K179" s="25" t="s">
        <v>414</v>
      </c>
      <c r="L179" s="25" t="s">
        <v>151</v>
      </c>
      <c r="M179" s="15" t="s">
        <v>31</v>
      </c>
      <c r="N179" s="16" t="str">
        <f>Tabla14[[#This Row],[ABR_02]]</f>
        <v>BA</v>
      </c>
      <c r="O179" t="s">
        <v>32</v>
      </c>
      <c r="P179" t="s">
        <v>33</v>
      </c>
      <c r="Q179" t="s">
        <v>32</v>
      </c>
      <c r="R179" t="s">
        <v>35</v>
      </c>
      <c r="S179" t="str">
        <f>_xlfn.CONCAT(Tabla14[[#This Row],[ABR_01]],"X",Tabla14[[#This Row],[ABR_02]],Tabla14[[#This Row],[ZONA2]],,"X",Tabla14[[#This Row],[PARADA2]])</f>
        <v>ARXBA3X19</v>
      </c>
      <c r="T179" t="str">
        <f>Tabla14[[#This Row],[ABR_01]]&amp;Tabla14[[#This Row],[ABR_02]]&amp;Tabla14[[#This Row],[PARADA2]]</f>
        <v>ARBA19</v>
      </c>
      <c r="U179" s="37" t="s">
        <v>36</v>
      </c>
      <c r="V179" s="37" t="s">
        <v>36</v>
      </c>
      <c r="W179">
        <f>LEN(Tabla14[[#This Row],[Transport Zone 2]])</f>
        <v>9</v>
      </c>
    </row>
    <row r="180" spans="2:23" hidden="1" x14ac:dyDescent="0.2">
      <c r="B180" s="19" t="s">
        <v>40</v>
      </c>
      <c r="C180" s="8" t="s">
        <v>415</v>
      </c>
      <c r="D180" s="17" t="s">
        <v>415</v>
      </c>
      <c r="E180" s="9" t="s">
        <v>367</v>
      </c>
      <c r="F180" s="10" t="s">
        <v>272</v>
      </c>
      <c r="G180" s="13" t="s">
        <v>413</v>
      </c>
      <c r="H180" s="10">
        <v>810</v>
      </c>
      <c r="I180" s="24" t="s">
        <v>27</v>
      </c>
      <c r="J180" s="24" t="s">
        <v>370</v>
      </c>
      <c r="K180" s="25" t="s">
        <v>414</v>
      </c>
      <c r="L180" s="25" t="s">
        <v>153</v>
      </c>
      <c r="M180" s="15" t="s">
        <v>31</v>
      </c>
      <c r="N180" s="16" t="str">
        <f>Tabla14[[#This Row],[ABR_02]]</f>
        <v>BA</v>
      </c>
      <c r="O180" t="s">
        <v>32</v>
      </c>
      <c r="P180" t="s">
        <v>33</v>
      </c>
      <c r="Q180" t="s">
        <v>32</v>
      </c>
      <c r="R180" t="s">
        <v>35</v>
      </c>
      <c r="S180" t="str">
        <f>_xlfn.CONCAT(Tabla14[[#This Row],[ABR_01]],"X",Tabla14[[#This Row],[ABR_02]],Tabla14[[#This Row],[ZONA2]],,"X",Tabla14[[#This Row],[PARADA2]])</f>
        <v>ARXBA3X20</v>
      </c>
      <c r="T180" t="str">
        <f>Tabla14[[#This Row],[ABR_01]]&amp;Tabla14[[#This Row],[ABR_02]]&amp;Tabla14[[#This Row],[PARADA2]]</f>
        <v>ARBA20</v>
      </c>
      <c r="U180" s="37" t="s">
        <v>36</v>
      </c>
      <c r="V180" s="37" t="s">
        <v>36</v>
      </c>
      <c r="W180">
        <f>LEN(Tabla14[[#This Row],[Transport Zone 2]])</f>
        <v>9</v>
      </c>
    </row>
    <row r="181" spans="2:23" hidden="1" x14ac:dyDescent="0.2">
      <c r="B181" s="19" t="s">
        <v>40</v>
      </c>
      <c r="C181" s="8" t="s">
        <v>416</v>
      </c>
      <c r="D181" s="12" t="s">
        <v>417</v>
      </c>
      <c r="E181" s="9" t="s">
        <v>367</v>
      </c>
      <c r="F181" s="10" t="s">
        <v>272</v>
      </c>
      <c r="G181" s="13" t="s">
        <v>413</v>
      </c>
      <c r="H181" s="10">
        <v>814</v>
      </c>
      <c r="I181" s="24" t="s">
        <v>27</v>
      </c>
      <c r="J181" s="24" t="s">
        <v>370</v>
      </c>
      <c r="K181" s="25" t="s">
        <v>414</v>
      </c>
      <c r="L181" s="25" t="s">
        <v>156</v>
      </c>
      <c r="M181" s="15" t="s">
        <v>31</v>
      </c>
      <c r="N181" s="16" t="str">
        <f>Tabla14[[#This Row],[ABR_02]]</f>
        <v>BA</v>
      </c>
      <c r="O181" t="s">
        <v>32</v>
      </c>
      <c r="P181" t="s">
        <v>33</v>
      </c>
      <c r="Q181" t="s">
        <v>32</v>
      </c>
      <c r="R181" t="s">
        <v>35</v>
      </c>
      <c r="S181" t="str">
        <f>_xlfn.CONCAT(Tabla14[[#This Row],[ABR_01]],"X",Tabla14[[#This Row],[ABR_02]],Tabla14[[#This Row],[ZONA2]],,"X",Tabla14[[#This Row],[PARADA2]])</f>
        <v>ARXBA3X21</v>
      </c>
      <c r="T181" t="str">
        <f>Tabla14[[#This Row],[ABR_01]]&amp;Tabla14[[#This Row],[ABR_02]]&amp;Tabla14[[#This Row],[PARADA2]]</f>
        <v>ARBA21</v>
      </c>
      <c r="U181" s="37" t="s">
        <v>36</v>
      </c>
      <c r="V181" s="37" t="s">
        <v>36</v>
      </c>
      <c r="W181">
        <f>LEN(Tabla14[[#This Row],[Transport Zone 2]])</f>
        <v>9</v>
      </c>
    </row>
    <row r="182" spans="2:23" hidden="1" x14ac:dyDescent="0.2">
      <c r="B182" s="19" t="s">
        <v>40</v>
      </c>
      <c r="C182" s="8" t="s">
        <v>418</v>
      </c>
      <c r="D182" s="12" t="s">
        <v>419</v>
      </c>
      <c r="E182" s="9" t="s">
        <v>367</v>
      </c>
      <c r="F182" s="10" t="s">
        <v>272</v>
      </c>
      <c r="G182" s="13" t="s">
        <v>413</v>
      </c>
      <c r="H182" s="10">
        <v>809</v>
      </c>
      <c r="I182" s="24" t="s">
        <v>27</v>
      </c>
      <c r="J182" s="24" t="s">
        <v>370</v>
      </c>
      <c r="K182" s="25" t="s">
        <v>414</v>
      </c>
      <c r="L182" s="25" t="s">
        <v>158</v>
      </c>
      <c r="M182" s="15" t="s">
        <v>31</v>
      </c>
      <c r="N182" s="16" t="str">
        <f>Tabla14[[#This Row],[ABR_02]]</f>
        <v>BA</v>
      </c>
      <c r="O182" t="s">
        <v>32</v>
      </c>
      <c r="P182" t="s">
        <v>33</v>
      </c>
      <c r="Q182" t="s">
        <v>32</v>
      </c>
      <c r="R182" t="s">
        <v>35</v>
      </c>
      <c r="S182" t="str">
        <f>_xlfn.CONCAT(Tabla14[[#This Row],[ABR_01]],"X",Tabla14[[#This Row],[ABR_02]],Tabla14[[#This Row],[ZONA2]],,"X",Tabla14[[#This Row],[PARADA2]])</f>
        <v>ARXBA3X22</v>
      </c>
      <c r="T182" t="str">
        <f>Tabla14[[#This Row],[ABR_01]]&amp;Tabla14[[#This Row],[ABR_02]]&amp;Tabla14[[#This Row],[PARADA2]]</f>
        <v>ARBA22</v>
      </c>
      <c r="U182" s="37" t="s">
        <v>36</v>
      </c>
      <c r="V182" s="37" t="s">
        <v>36</v>
      </c>
      <c r="W182">
        <f>LEN(Tabla14[[#This Row],[Transport Zone 2]])</f>
        <v>9</v>
      </c>
    </row>
    <row r="183" spans="2:23" hidden="1" x14ac:dyDescent="0.2">
      <c r="B183" s="19" t="s">
        <v>40</v>
      </c>
      <c r="C183" s="8" t="s">
        <v>420</v>
      </c>
      <c r="D183" s="12" t="s">
        <v>379</v>
      </c>
      <c r="E183" s="9" t="s">
        <v>367</v>
      </c>
      <c r="F183" s="10" t="s">
        <v>272</v>
      </c>
      <c r="G183" s="13" t="s">
        <v>413</v>
      </c>
      <c r="H183" s="10">
        <v>862</v>
      </c>
      <c r="I183" s="24" t="s">
        <v>27</v>
      </c>
      <c r="J183" s="24" t="s">
        <v>370</v>
      </c>
      <c r="K183" s="25" t="s">
        <v>414</v>
      </c>
      <c r="L183" s="25" t="s">
        <v>161</v>
      </c>
      <c r="M183" s="15" t="s">
        <v>31</v>
      </c>
      <c r="N183" s="16" t="str">
        <f>Tabla14[[#This Row],[ABR_02]]</f>
        <v>BA</v>
      </c>
      <c r="O183" t="s">
        <v>32</v>
      </c>
      <c r="P183" t="s">
        <v>33</v>
      </c>
      <c r="Q183" t="s">
        <v>32</v>
      </c>
      <c r="R183" t="s">
        <v>35</v>
      </c>
      <c r="S183" t="str">
        <f>_xlfn.CONCAT(Tabla14[[#This Row],[ABR_01]],"X",Tabla14[[#This Row],[ABR_02]],Tabla14[[#This Row],[ZONA2]],,"X",Tabla14[[#This Row],[PARADA2]])</f>
        <v>ARXBA3X23</v>
      </c>
      <c r="T183" t="str">
        <f>Tabla14[[#This Row],[ABR_01]]&amp;Tabla14[[#This Row],[ABR_02]]&amp;Tabla14[[#This Row],[PARADA2]]</f>
        <v>ARBA23</v>
      </c>
      <c r="U183" s="37" t="s">
        <v>36</v>
      </c>
      <c r="V183" s="37" t="s">
        <v>36</v>
      </c>
      <c r="W183">
        <f>LEN(Tabla14[[#This Row],[Transport Zone 2]])</f>
        <v>9</v>
      </c>
    </row>
    <row r="184" spans="2:23" hidden="1" x14ac:dyDescent="0.2">
      <c r="B184" s="19" t="s">
        <v>40</v>
      </c>
      <c r="C184" s="8" t="s">
        <v>421</v>
      </c>
      <c r="D184" s="12" t="s">
        <v>422</v>
      </c>
      <c r="E184" s="9" t="s">
        <v>367</v>
      </c>
      <c r="F184" s="10" t="s">
        <v>272</v>
      </c>
      <c r="G184" s="13" t="s">
        <v>413</v>
      </c>
      <c r="H184" s="10">
        <v>811</v>
      </c>
      <c r="I184" s="24" t="s">
        <v>27</v>
      </c>
      <c r="J184" s="24" t="s">
        <v>370</v>
      </c>
      <c r="K184" s="25" t="s">
        <v>414</v>
      </c>
      <c r="L184" s="25" t="s">
        <v>164</v>
      </c>
      <c r="M184" s="15" t="s">
        <v>31</v>
      </c>
      <c r="N184" s="16" t="str">
        <f>Tabla14[[#This Row],[ABR_02]]</f>
        <v>BA</v>
      </c>
      <c r="O184" t="s">
        <v>32</v>
      </c>
      <c r="P184" t="s">
        <v>33</v>
      </c>
      <c r="Q184" t="s">
        <v>32</v>
      </c>
      <c r="R184" t="s">
        <v>35</v>
      </c>
      <c r="S184" t="str">
        <f>_xlfn.CONCAT(Tabla14[[#This Row],[ABR_01]],"X",Tabla14[[#This Row],[ABR_02]],Tabla14[[#This Row],[ZONA2]],,"X",Tabla14[[#This Row],[PARADA2]])</f>
        <v>ARXBA3X24</v>
      </c>
      <c r="T184" t="str">
        <f>Tabla14[[#This Row],[ABR_01]]&amp;Tabla14[[#This Row],[ABR_02]]&amp;Tabla14[[#This Row],[PARADA2]]</f>
        <v>ARBA24</v>
      </c>
      <c r="U184" s="37" t="s">
        <v>36</v>
      </c>
      <c r="V184" s="37" t="s">
        <v>36</v>
      </c>
      <c r="W184">
        <f>LEN(Tabla14[[#This Row],[Transport Zone 2]])</f>
        <v>9</v>
      </c>
    </row>
    <row r="185" spans="2:23" hidden="1" x14ac:dyDescent="0.2">
      <c r="B185" s="19" t="s">
        <v>40</v>
      </c>
      <c r="C185" s="8" t="s">
        <v>423</v>
      </c>
      <c r="D185" s="17" t="s">
        <v>423</v>
      </c>
      <c r="E185" s="9" t="s">
        <v>367</v>
      </c>
      <c r="F185" s="10" t="s">
        <v>272</v>
      </c>
      <c r="G185" s="13" t="s">
        <v>413</v>
      </c>
      <c r="H185" s="10">
        <v>830</v>
      </c>
      <c r="I185" s="24" t="s">
        <v>27</v>
      </c>
      <c r="J185" s="24" t="s">
        <v>370</v>
      </c>
      <c r="K185" s="25" t="s">
        <v>414</v>
      </c>
      <c r="L185" s="25" t="s">
        <v>166</v>
      </c>
      <c r="M185" s="15" t="s">
        <v>31</v>
      </c>
      <c r="N185" s="16" t="str">
        <f>Tabla14[[#This Row],[ABR_02]]</f>
        <v>BA</v>
      </c>
      <c r="O185" t="s">
        <v>32</v>
      </c>
      <c r="P185" t="s">
        <v>33</v>
      </c>
      <c r="Q185" t="s">
        <v>32</v>
      </c>
      <c r="R185" t="s">
        <v>35</v>
      </c>
      <c r="S185" t="str">
        <f>_xlfn.CONCAT(Tabla14[[#This Row],[ABR_01]],"X",Tabla14[[#This Row],[ABR_02]],Tabla14[[#This Row],[ZONA2]],,"X",Tabla14[[#This Row],[PARADA2]])</f>
        <v>ARXBA3X25</v>
      </c>
      <c r="T185" t="str">
        <f>Tabla14[[#This Row],[ABR_01]]&amp;Tabla14[[#This Row],[ABR_02]]&amp;Tabla14[[#This Row],[PARADA2]]</f>
        <v>ARBA25</v>
      </c>
      <c r="U185" s="37" t="s">
        <v>36</v>
      </c>
      <c r="V185" s="37" t="s">
        <v>36</v>
      </c>
      <c r="W185">
        <f>LEN(Tabla14[[#This Row],[Transport Zone 2]])</f>
        <v>9</v>
      </c>
    </row>
    <row r="186" spans="2:23" hidden="1" x14ac:dyDescent="0.2">
      <c r="B186" s="19" t="s">
        <v>40</v>
      </c>
      <c r="C186" s="8" t="s">
        <v>424</v>
      </c>
      <c r="D186" s="12" t="s">
        <v>425</v>
      </c>
      <c r="E186" s="9" t="s">
        <v>367</v>
      </c>
      <c r="F186" s="10" t="s">
        <v>272</v>
      </c>
      <c r="G186" s="13" t="s">
        <v>413</v>
      </c>
      <c r="H186" s="10">
        <v>813</v>
      </c>
      <c r="I186" s="24" t="s">
        <v>27</v>
      </c>
      <c r="J186" s="24" t="s">
        <v>370</v>
      </c>
      <c r="K186" s="25" t="s">
        <v>414</v>
      </c>
      <c r="L186" s="25" t="s">
        <v>426</v>
      </c>
      <c r="M186" s="15" t="s">
        <v>31</v>
      </c>
      <c r="N186" s="16" t="str">
        <f>Tabla14[[#This Row],[ABR_02]]</f>
        <v>BA</v>
      </c>
      <c r="O186" t="s">
        <v>32</v>
      </c>
      <c r="P186" t="s">
        <v>33</v>
      </c>
      <c r="Q186" t="s">
        <v>32</v>
      </c>
      <c r="R186" t="s">
        <v>35</v>
      </c>
      <c r="S186" t="str">
        <f>_xlfn.CONCAT(Tabla14[[#This Row],[ABR_01]],"X",Tabla14[[#This Row],[ABR_02]],Tabla14[[#This Row],[ZONA2]],,"X",Tabla14[[#This Row],[PARADA2]])</f>
        <v>ARXBA3X26</v>
      </c>
      <c r="T186" t="str">
        <f>Tabla14[[#This Row],[ABR_01]]&amp;Tabla14[[#This Row],[ABR_02]]&amp;Tabla14[[#This Row],[PARADA2]]</f>
        <v>ARBA26</v>
      </c>
      <c r="U186" s="37" t="s">
        <v>36</v>
      </c>
      <c r="V186" s="37" t="s">
        <v>36</v>
      </c>
      <c r="W186">
        <f>LEN(Tabla14[[#This Row],[Transport Zone 2]])</f>
        <v>9</v>
      </c>
    </row>
    <row r="187" spans="2:23" hidden="1" x14ac:dyDescent="0.2">
      <c r="B187" s="19" t="s">
        <v>40</v>
      </c>
      <c r="C187" s="8" t="s">
        <v>427</v>
      </c>
      <c r="D187" s="17" t="s">
        <v>427</v>
      </c>
      <c r="E187" s="9" t="s">
        <v>367</v>
      </c>
      <c r="F187" s="10" t="s">
        <v>272</v>
      </c>
      <c r="G187" s="13" t="s">
        <v>413</v>
      </c>
      <c r="H187" s="10">
        <v>850</v>
      </c>
      <c r="I187" s="24" t="s">
        <v>27</v>
      </c>
      <c r="J187" s="24" t="s">
        <v>370</v>
      </c>
      <c r="K187" s="25" t="s">
        <v>414</v>
      </c>
      <c r="L187" s="25" t="s">
        <v>428</v>
      </c>
      <c r="M187" s="15" t="s">
        <v>31</v>
      </c>
      <c r="N187" s="16" t="str">
        <f>Tabla14[[#This Row],[ABR_02]]</f>
        <v>BA</v>
      </c>
      <c r="O187" t="s">
        <v>32</v>
      </c>
      <c r="P187" t="s">
        <v>33</v>
      </c>
      <c r="Q187" t="s">
        <v>32</v>
      </c>
      <c r="R187" t="s">
        <v>35</v>
      </c>
      <c r="S187" t="str">
        <f>_xlfn.CONCAT(Tabla14[[#This Row],[ABR_01]],"X",Tabla14[[#This Row],[ABR_02]],Tabla14[[#This Row],[ZONA2]],,"X",Tabla14[[#This Row],[PARADA2]])</f>
        <v>ARXBA3X27</v>
      </c>
      <c r="T187" t="str">
        <f>Tabla14[[#This Row],[ABR_01]]&amp;Tabla14[[#This Row],[ABR_02]]&amp;Tabla14[[#This Row],[PARADA2]]</f>
        <v>ARBA27</v>
      </c>
      <c r="U187" s="37" t="s">
        <v>36</v>
      </c>
      <c r="V187" s="37" t="s">
        <v>36</v>
      </c>
      <c r="W187">
        <f>LEN(Tabla14[[#This Row],[Transport Zone 2]])</f>
        <v>9</v>
      </c>
    </row>
    <row r="188" spans="2:23" hidden="1" x14ac:dyDescent="0.2">
      <c r="B188" s="19" t="s">
        <v>40</v>
      </c>
      <c r="C188" s="8" t="s">
        <v>429</v>
      </c>
      <c r="D188" s="12" t="s">
        <v>430</v>
      </c>
      <c r="E188" s="9" t="s">
        <v>367</v>
      </c>
      <c r="F188" s="10" t="s">
        <v>272</v>
      </c>
      <c r="G188" s="13" t="s">
        <v>413</v>
      </c>
      <c r="H188" s="10">
        <v>848</v>
      </c>
      <c r="I188" s="24" t="s">
        <v>27</v>
      </c>
      <c r="J188" s="24" t="s">
        <v>370</v>
      </c>
      <c r="K188" s="25" t="s">
        <v>414</v>
      </c>
      <c r="L188" s="25" t="s">
        <v>431</v>
      </c>
      <c r="M188" s="15" t="s">
        <v>31</v>
      </c>
      <c r="N188" s="16" t="str">
        <f>Tabla14[[#This Row],[ABR_02]]</f>
        <v>BA</v>
      </c>
      <c r="O188" t="s">
        <v>32</v>
      </c>
      <c r="P188" t="s">
        <v>33</v>
      </c>
      <c r="Q188" t="s">
        <v>32</v>
      </c>
      <c r="R188" t="s">
        <v>35</v>
      </c>
      <c r="S188" t="str">
        <f>_xlfn.CONCAT(Tabla14[[#This Row],[ABR_01]],"X",Tabla14[[#This Row],[ABR_02]],Tabla14[[#This Row],[ZONA2]],,"X",Tabla14[[#This Row],[PARADA2]])</f>
        <v>ARXBA3X28</v>
      </c>
      <c r="T188" t="str">
        <f>Tabla14[[#This Row],[ABR_01]]&amp;Tabla14[[#This Row],[ABR_02]]&amp;Tabla14[[#This Row],[PARADA2]]</f>
        <v>ARBA28</v>
      </c>
      <c r="U188" s="37" t="s">
        <v>36</v>
      </c>
      <c r="V188" s="37" t="s">
        <v>36</v>
      </c>
      <c r="W188">
        <f>LEN(Tabla14[[#This Row],[Transport Zone 2]])</f>
        <v>9</v>
      </c>
    </row>
    <row r="189" spans="2:23" hidden="1" x14ac:dyDescent="0.2">
      <c r="B189" s="19" t="s">
        <v>40</v>
      </c>
      <c r="C189" s="8" t="s">
        <v>432</v>
      </c>
      <c r="D189" s="17" t="s">
        <v>432</v>
      </c>
      <c r="E189" s="9" t="s">
        <v>367</v>
      </c>
      <c r="F189" s="10" t="s">
        <v>272</v>
      </c>
      <c r="G189" s="13" t="s">
        <v>413</v>
      </c>
      <c r="H189" s="10">
        <v>808</v>
      </c>
      <c r="I189" s="24" t="s">
        <v>27</v>
      </c>
      <c r="J189" s="24" t="s">
        <v>370</v>
      </c>
      <c r="K189" s="25" t="s">
        <v>414</v>
      </c>
      <c r="L189" s="25" t="s">
        <v>433</v>
      </c>
      <c r="M189" s="15" t="s">
        <v>31</v>
      </c>
      <c r="N189" s="16" t="str">
        <f>Tabla14[[#This Row],[ABR_02]]</f>
        <v>BA</v>
      </c>
      <c r="O189" t="s">
        <v>32</v>
      </c>
      <c r="P189" t="s">
        <v>33</v>
      </c>
      <c r="Q189" t="s">
        <v>32</v>
      </c>
      <c r="R189" t="s">
        <v>35</v>
      </c>
      <c r="S189" t="str">
        <f>_xlfn.CONCAT(Tabla14[[#This Row],[ABR_01]],"X",Tabla14[[#This Row],[ABR_02]],Tabla14[[#This Row],[ZONA2]],,"X",Tabla14[[#This Row],[PARADA2]])</f>
        <v>ARXBA3X29</v>
      </c>
      <c r="T189" t="str">
        <f>Tabla14[[#This Row],[ABR_01]]&amp;Tabla14[[#This Row],[ABR_02]]&amp;Tabla14[[#This Row],[PARADA2]]</f>
        <v>ARBA29</v>
      </c>
      <c r="U189" s="37" t="s">
        <v>36</v>
      </c>
      <c r="V189" s="37" t="s">
        <v>36</v>
      </c>
      <c r="W189">
        <f>LEN(Tabla14[[#This Row],[Transport Zone 2]])</f>
        <v>9</v>
      </c>
    </row>
    <row r="190" spans="2:23" hidden="1" x14ac:dyDescent="0.2">
      <c r="B190" s="19" t="s">
        <v>40</v>
      </c>
      <c r="C190" s="8" t="s">
        <v>434</v>
      </c>
      <c r="D190" s="12" t="s">
        <v>435</v>
      </c>
      <c r="E190" s="9" t="s">
        <v>367</v>
      </c>
      <c r="F190" s="10" t="s">
        <v>272</v>
      </c>
      <c r="G190" s="13" t="s">
        <v>413</v>
      </c>
      <c r="H190" s="10" t="s">
        <v>436</v>
      </c>
      <c r="I190" s="24" t="s">
        <v>27</v>
      </c>
      <c r="J190" s="24" t="s">
        <v>370</v>
      </c>
      <c r="K190" s="25" t="s">
        <v>414</v>
      </c>
      <c r="L190" s="25" t="s">
        <v>437</v>
      </c>
      <c r="M190" s="15" t="s">
        <v>31</v>
      </c>
      <c r="N190" s="16" t="str">
        <f>Tabla14[[#This Row],[ABR_02]]</f>
        <v>BA</v>
      </c>
      <c r="O190" t="s">
        <v>32</v>
      </c>
      <c r="P190" t="s">
        <v>33</v>
      </c>
      <c r="Q190" t="s">
        <v>32</v>
      </c>
      <c r="R190" t="s">
        <v>35</v>
      </c>
      <c r="S190" t="str">
        <f>_xlfn.CONCAT(Tabla14[[#This Row],[ABR_01]],"X",Tabla14[[#This Row],[ABR_02]],Tabla14[[#This Row],[ZONA2]],,"X",Tabla14[[#This Row],[PARADA2]])</f>
        <v>ARXBA3X30</v>
      </c>
      <c r="T190" t="str">
        <f>Tabla14[[#This Row],[ABR_01]]&amp;Tabla14[[#This Row],[ABR_02]]&amp;Tabla14[[#This Row],[PARADA2]]</f>
        <v>ARBA30</v>
      </c>
      <c r="U190" s="37" t="s">
        <v>36</v>
      </c>
      <c r="V190" s="37" t="s">
        <v>36</v>
      </c>
      <c r="W190">
        <f>LEN(Tabla14[[#This Row],[Transport Zone 2]])</f>
        <v>9</v>
      </c>
    </row>
    <row r="191" spans="2:23" hidden="1" x14ac:dyDescent="0.2">
      <c r="B191" s="19" t="s">
        <v>40</v>
      </c>
      <c r="C191" s="8" t="s">
        <v>438</v>
      </c>
      <c r="D191" s="17" t="s">
        <v>438</v>
      </c>
      <c r="E191" s="9" t="s">
        <v>367</v>
      </c>
      <c r="F191" s="10" t="s">
        <v>272</v>
      </c>
      <c r="G191" s="13" t="s">
        <v>413</v>
      </c>
      <c r="H191" s="10">
        <v>802</v>
      </c>
      <c r="I191" s="24" t="s">
        <v>27</v>
      </c>
      <c r="J191" s="24" t="s">
        <v>370</v>
      </c>
      <c r="K191" s="25" t="s">
        <v>414</v>
      </c>
      <c r="L191" s="25" t="s">
        <v>439</v>
      </c>
      <c r="M191" s="15" t="s">
        <v>31</v>
      </c>
      <c r="N191" s="16" t="str">
        <f>Tabla14[[#This Row],[ABR_02]]</f>
        <v>BA</v>
      </c>
      <c r="O191" t="s">
        <v>32</v>
      </c>
      <c r="P191" t="s">
        <v>33</v>
      </c>
      <c r="Q191" t="s">
        <v>32</v>
      </c>
      <c r="R191" t="s">
        <v>35</v>
      </c>
      <c r="S191" t="str">
        <f>_xlfn.CONCAT(Tabla14[[#This Row],[ABR_01]],"X",Tabla14[[#This Row],[ABR_02]],Tabla14[[#This Row],[ZONA2]],,"X",Tabla14[[#This Row],[PARADA2]])</f>
        <v>ARXBA3X31</v>
      </c>
      <c r="T191" t="str">
        <f>Tabla14[[#This Row],[ABR_01]]&amp;Tabla14[[#This Row],[ABR_02]]&amp;Tabla14[[#This Row],[PARADA2]]</f>
        <v>ARBA31</v>
      </c>
      <c r="U191" s="37" t="s">
        <v>36</v>
      </c>
      <c r="V191" s="37" t="s">
        <v>36</v>
      </c>
      <c r="W191">
        <f>LEN(Tabla14[[#This Row],[Transport Zone 2]])</f>
        <v>9</v>
      </c>
    </row>
    <row r="192" spans="2:23" hidden="1" x14ac:dyDescent="0.2">
      <c r="B192" s="19" t="s">
        <v>40</v>
      </c>
      <c r="C192" s="8" t="s">
        <v>440</v>
      </c>
      <c r="D192" s="17" t="s">
        <v>440</v>
      </c>
      <c r="E192" s="9" t="s">
        <v>367</v>
      </c>
      <c r="F192" s="10" t="s">
        <v>272</v>
      </c>
      <c r="G192" s="13" t="s">
        <v>413</v>
      </c>
      <c r="H192" s="10">
        <v>895</v>
      </c>
      <c r="I192" s="24" t="s">
        <v>27</v>
      </c>
      <c r="J192" s="24" t="s">
        <v>370</v>
      </c>
      <c r="K192" s="25" t="s">
        <v>414</v>
      </c>
      <c r="L192" s="25" t="s">
        <v>441</v>
      </c>
      <c r="M192" s="15" t="s">
        <v>31</v>
      </c>
      <c r="N192" s="16" t="str">
        <f>Tabla14[[#This Row],[ABR_02]]</f>
        <v>BA</v>
      </c>
      <c r="O192" t="s">
        <v>32</v>
      </c>
      <c r="P192" t="s">
        <v>33</v>
      </c>
      <c r="Q192" t="s">
        <v>32</v>
      </c>
      <c r="R192" t="s">
        <v>35</v>
      </c>
      <c r="S192" t="str">
        <f>_xlfn.CONCAT(Tabla14[[#This Row],[ABR_01]],"X",Tabla14[[#This Row],[ABR_02]],Tabla14[[#This Row],[ZONA2]],,"X",Tabla14[[#This Row],[PARADA2]])</f>
        <v>ARXBA3X32</v>
      </c>
      <c r="T192" t="str">
        <f>Tabla14[[#This Row],[ABR_01]]&amp;Tabla14[[#This Row],[ABR_02]]&amp;Tabla14[[#This Row],[PARADA2]]</f>
        <v>ARBA32</v>
      </c>
      <c r="U192" s="37" t="s">
        <v>36</v>
      </c>
      <c r="V192" s="37" t="s">
        <v>36</v>
      </c>
      <c r="W192">
        <f>LEN(Tabla14[[#This Row],[Transport Zone 2]])</f>
        <v>9</v>
      </c>
    </row>
    <row r="193" spans="2:23" hidden="1" x14ac:dyDescent="0.2">
      <c r="B193" s="19" t="s">
        <v>40</v>
      </c>
      <c r="C193" s="8" t="s">
        <v>442</v>
      </c>
      <c r="D193" s="12" t="s">
        <v>443</v>
      </c>
      <c r="E193" s="9" t="s">
        <v>367</v>
      </c>
      <c r="F193" s="10" t="s">
        <v>272</v>
      </c>
      <c r="G193" s="13" t="s">
        <v>413</v>
      </c>
      <c r="H193" s="10">
        <v>816</v>
      </c>
      <c r="I193" s="24" t="s">
        <v>27</v>
      </c>
      <c r="J193" s="24" t="s">
        <v>370</v>
      </c>
      <c r="K193" s="25" t="s">
        <v>414</v>
      </c>
      <c r="L193" s="25" t="s">
        <v>444</v>
      </c>
      <c r="M193" s="15" t="s">
        <v>31</v>
      </c>
      <c r="N193" s="16" t="str">
        <f>Tabla14[[#This Row],[ABR_02]]</f>
        <v>BA</v>
      </c>
      <c r="O193" t="s">
        <v>32</v>
      </c>
      <c r="P193" t="s">
        <v>33</v>
      </c>
      <c r="Q193" t="s">
        <v>32</v>
      </c>
      <c r="R193" t="s">
        <v>35</v>
      </c>
      <c r="S193" s="29" t="str">
        <f>_xlfn.CONCAT(Tabla14[[#This Row],[ABR_01]],"X",Tabla14[[#This Row],[ABR_02]],Tabla14[[#This Row],[ZONA2]],,"X",Tabla14[[#This Row],[PARADA2]])</f>
        <v>ARXBA3X33</v>
      </c>
      <c r="T193" t="str">
        <f>Tabla14[[#This Row],[ABR_01]]&amp;Tabla14[[#This Row],[ABR_02]]&amp;Tabla14[[#This Row],[PARADA2]]</f>
        <v>ARBA33</v>
      </c>
      <c r="U193" s="37" t="s">
        <v>36</v>
      </c>
      <c r="V193" s="37" t="s">
        <v>36</v>
      </c>
      <c r="W193">
        <f>LEN(Tabla14[[#This Row],[Transport Zone 2]])</f>
        <v>9</v>
      </c>
    </row>
    <row r="194" spans="2:23" hidden="1" x14ac:dyDescent="0.2">
      <c r="B194" s="19" t="s">
        <v>40</v>
      </c>
      <c r="C194" s="8" t="s">
        <v>445</v>
      </c>
      <c r="D194" s="17" t="s">
        <v>445</v>
      </c>
      <c r="E194" s="9" t="s">
        <v>367</v>
      </c>
      <c r="F194" s="10" t="s">
        <v>272</v>
      </c>
      <c r="G194" s="13" t="s">
        <v>413</v>
      </c>
      <c r="H194" s="10">
        <v>875</v>
      </c>
      <c r="I194" s="24" t="s">
        <v>27</v>
      </c>
      <c r="J194" s="24" t="s">
        <v>370</v>
      </c>
      <c r="K194" s="25" t="s">
        <v>414</v>
      </c>
      <c r="L194" s="25" t="s">
        <v>446</v>
      </c>
      <c r="M194" s="15" t="s">
        <v>31</v>
      </c>
      <c r="N194" s="16" t="str">
        <f>Tabla14[[#This Row],[ABR_02]]</f>
        <v>BA</v>
      </c>
      <c r="O194" t="s">
        <v>32</v>
      </c>
      <c r="P194" t="s">
        <v>33</v>
      </c>
      <c r="Q194" t="s">
        <v>32</v>
      </c>
      <c r="R194" t="s">
        <v>35</v>
      </c>
      <c r="S194" t="str">
        <f>_xlfn.CONCAT(Tabla14[[#This Row],[ABR_01]],"X",Tabla14[[#This Row],[ABR_02]],Tabla14[[#This Row],[ZONA2]],,"X",Tabla14[[#This Row],[PARADA2]])</f>
        <v>ARXBA3X34</v>
      </c>
      <c r="T194" t="str">
        <f>Tabla14[[#This Row],[ABR_01]]&amp;Tabla14[[#This Row],[ABR_02]]&amp;Tabla14[[#This Row],[PARADA2]]</f>
        <v>ARBA34</v>
      </c>
      <c r="U194" s="37" t="s">
        <v>36</v>
      </c>
      <c r="V194" s="37" t="s">
        <v>36</v>
      </c>
      <c r="W194">
        <f>LEN(Tabla14[[#This Row],[Transport Zone 2]])</f>
        <v>9</v>
      </c>
    </row>
    <row r="195" spans="2:23" hidden="1" x14ac:dyDescent="0.2">
      <c r="B195" s="19" t="s">
        <v>40</v>
      </c>
      <c r="C195" s="8" t="s">
        <v>447</v>
      </c>
      <c r="D195" s="12" t="s">
        <v>448</v>
      </c>
      <c r="E195" s="9" t="s">
        <v>367</v>
      </c>
      <c r="F195" s="10" t="s">
        <v>272</v>
      </c>
      <c r="G195" s="13" t="s">
        <v>413</v>
      </c>
      <c r="H195" s="10">
        <v>817</v>
      </c>
      <c r="I195" s="24" t="s">
        <v>27</v>
      </c>
      <c r="J195" s="24" t="s">
        <v>370</v>
      </c>
      <c r="K195" s="25" t="s">
        <v>414</v>
      </c>
      <c r="L195" s="25" t="s">
        <v>449</v>
      </c>
      <c r="M195" s="15" t="s">
        <v>31</v>
      </c>
      <c r="N195" s="16" t="str">
        <f>Tabla14[[#This Row],[ABR_02]]</f>
        <v>BA</v>
      </c>
      <c r="O195" t="s">
        <v>32</v>
      </c>
      <c r="P195" t="s">
        <v>33</v>
      </c>
      <c r="Q195" t="s">
        <v>32</v>
      </c>
      <c r="R195" t="s">
        <v>35</v>
      </c>
      <c r="S195" t="str">
        <f>_xlfn.CONCAT(Tabla14[[#This Row],[ABR_01]],"X",Tabla14[[#This Row],[ABR_02]],Tabla14[[#This Row],[ZONA2]],,"X",Tabla14[[#This Row],[PARADA2]])</f>
        <v>ARXBA3X35</v>
      </c>
      <c r="T195" t="str">
        <f>Tabla14[[#This Row],[ABR_01]]&amp;Tabla14[[#This Row],[ABR_02]]&amp;Tabla14[[#This Row],[PARADA2]]</f>
        <v>ARBA35</v>
      </c>
      <c r="U195" s="37" t="s">
        <v>36</v>
      </c>
      <c r="V195" s="37" t="s">
        <v>36</v>
      </c>
      <c r="W195">
        <f>LEN(Tabla14[[#This Row],[Transport Zone 2]])</f>
        <v>9</v>
      </c>
    </row>
    <row r="196" spans="2:23" hidden="1" x14ac:dyDescent="0.2">
      <c r="B196" s="19" t="s">
        <v>40</v>
      </c>
      <c r="C196" s="8" t="s">
        <v>450</v>
      </c>
      <c r="D196" s="12" t="s">
        <v>451</v>
      </c>
      <c r="E196" s="9" t="s">
        <v>367</v>
      </c>
      <c r="F196" s="10" t="s">
        <v>272</v>
      </c>
      <c r="G196" s="13" t="s">
        <v>413</v>
      </c>
      <c r="H196" s="10">
        <v>755</v>
      </c>
      <c r="I196" s="24" t="s">
        <v>27</v>
      </c>
      <c r="J196" s="24" t="s">
        <v>370</v>
      </c>
      <c r="K196" s="25" t="s">
        <v>414</v>
      </c>
      <c r="L196" s="25" t="s">
        <v>452</v>
      </c>
      <c r="M196" s="15" t="s">
        <v>31</v>
      </c>
      <c r="N196" s="16" t="str">
        <f>Tabla14[[#This Row],[ABR_02]]</f>
        <v>BA</v>
      </c>
      <c r="O196" t="s">
        <v>32</v>
      </c>
      <c r="P196" t="s">
        <v>33</v>
      </c>
      <c r="Q196" t="s">
        <v>32</v>
      </c>
      <c r="R196" t="s">
        <v>35</v>
      </c>
      <c r="S196" t="str">
        <f>_xlfn.CONCAT(Tabla14[[#This Row],[ABR_01]],"X",Tabla14[[#This Row],[ABR_02]],Tabla14[[#This Row],[ZONA2]],,"X",Tabla14[[#This Row],[PARADA2]])</f>
        <v>ARXBA3X36</v>
      </c>
      <c r="T196" t="str">
        <f>Tabla14[[#This Row],[ABR_01]]&amp;Tabla14[[#This Row],[ABR_02]]&amp;Tabla14[[#This Row],[PARADA2]]</f>
        <v>ARBA36</v>
      </c>
      <c r="U196" s="37" t="s">
        <v>36</v>
      </c>
      <c r="V196" s="37" t="s">
        <v>36</v>
      </c>
      <c r="W196">
        <f>LEN(Tabla14[[#This Row],[Transport Zone 2]])</f>
        <v>9</v>
      </c>
    </row>
    <row r="197" spans="2:23" hidden="1" x14ac:dyDescent="0.2">
      <c r="B197" s="19" t="s">
        <v>40</v>
      </c>
      <c r="C197" s="8" t="s">
        <v>453</v>
      </c>
      <c r="D197" s="17" t="s">
        <v>453</v>
      </c>
      <c r="E197" s="9" t="s">
        <v>367</v>
      </c>
      <c r="F197" s="10" t="s">
        <v>272</v>
      </c>
      <c r="G197" s="13" t="s">
        <v>413</v>
      </c>
      <c r="H197" s="10">
        <v>902</v>
      </c>
      <c r="I197" s="24" t="s">
        <v>27</v>
      </c>
      <c r="J197" s="24" t="s">
        <v>370</v>
      </c>
      <c r="K197" s="25" t="s">
        <v>414</v>
      </c>
      <c r="L197" s="25" t="s">
        <v>454</v>
      </c>
      <c r="M197" s="15" t="s">
        <v>31</v>
      </c>
      <c r="N197" s="16" t="str">
        <f>Tabla14[[#This Row],[ABR_02]]</f>
        <v>BA</v>
      </c>
      <c r="O197" t="s">
        <v>32</v>
      </c>
      <c r="P197" t="s">
        <v>33</v>
      </c>
      <c r="Q197" t="s">
        <v>32</v>
      </c>
      <c r="R197" t="s">
        <v>35</v>
      </c>
      <c r="S197" t="str">
        <f>_xlfn.CONCAT(Tabla14[[#This Row],[ABR_01]],"X",Tabla14[[#This Row],[ABR_02]],Tabla14[[#This Row],[ZONA2]],,"X",Tabla14[[#This Row],[PARADA2]])</f>
        <v>ARXBA3X37</v>
      </c>
      <c r="T197" t="str">
        <f>Tabla14[[#This Row],[ABR_01]]&amp;Tabla14[[#This Row],[ABR_02]]&amp;Tabla14[[#This Row],[PARADA2]]</f>
        <v>ARBA37</v>
      </c>
      <c r="U197" s="37" t="s">
        <v>36</v>
      </c>
      <c r="V197" s="37" t="s">
        <v>36</v>
      </c>
      <c r="W197">
        <f>LEN(Tabla14[[#This Row],[Transport Zone 2]])</f>
        <v>9</v>
      </c>
    </row>
    <row r="198" spans="2:23" hidden="1" x14ac:dyDescent="0.2">
      <c r="B198" s="19" t="s">
        <v>40</v>
      </c>
      <c r="C198" s="8" t="s">
        <v>455</v>
      </c>
      <c r="D198" s="17" t="s">
        <v>455</v>
      </c>
      <c r="E198" s="9" t="s">
        <v>367</v>
      </c>
      <c r="F198" s="10" t="s">
        <v>272</v>
      </c>
      <c r="G198" s="13" t="s">
        <v>413</v>
      </c>
      <c r="H198" s="10">
        <v>812</v>
      </c>
      <c r="I198" s="24" t="s">
        <v>27</v>
      </c>
      <c r="J198" s="24" t="s">
        <v>370</v>
      </c>
      <c r="K198" s="25" t="s">
        <v>414</v>
      </c>
      <c r="L198" s="25" t="s">
        <v>456</v>
      </c>
      <c r="M198" s="15" t="s">
        <v>31</v>
      </c>
      <c r="N198" s="16" t="str">
        <f>Tabla14[[#This Row],[ABR_02]]</f>
        <v>BA</v>
      </c>
      <c r="O198" t="s">
        <v>32</v>
      </c>
      <c r="P198" t="s">
        <v>33</v>
      </c>
      <c r="Q198" t="s">
        <v>32</v>
      </c>
      <c r="R198" t="s">
        <v>35</v>
      </c>
      <c r="S198" t="str">
        <f>_xlfn.CONCAT(Tabla14[[#This Row],[ABR_01]],"X",Tabla14[[#This Row],[ABR_02]],Tabla14[[#This Row],[ZONA2]],,"X",Tabla14[[#This Row],[PARADA2]])</f>
        <v>ARXBA3X38</v>
      </c>
      <c r="T198" t="str">
        <f>Tabla14[[#This Row],[ABR_01]]&amp;Tabla14[[#This Row],[ABR_02]]&amp;Tabla14[[#This Row],[PARADA2]]</f>
        <v>ARBA38</v>
      </c>
      <c r="U198" s="37" t="s">
        <v>36</v>
      </c>
      <c r="V198" s="37" t="s">
        <v>36</v>
      </c>
      <c r="W198">
        <f>LEN(Tabla14[[#This Row],[Transport Zone 2]])</f>
        <v>9</v>
      </c>
    </row>
    <row r="199" spans="2:23" hidden="1" x14ac:dyDescent="0.2">
      <c r="B199" s="19" t="s">
        <v>40</v>
      </c>
      <c r="C199" s="8" t="s">
        <v>457</v>
      </c>
      <c r="D199" s="12" t="s">
        <v>458</v>
      </c>
      <c r="E199" s="9" t="s">
        <v>367</v>
      </c>
      <c r="F199" s="10" t="s">
        <v>272</v>
      </c>
      <c r="G199" s="13" t="s">
        <v>413</v>
      </c>
      <c r="H199" s="10">
        <v>840</v>
      </c>
      <c r="I199" s="24" t="s">
        <v>27</v>
      </c>
      <c r="J199" s="24" t="s">
        <v>370</v>
      </c>
      <c r="K199" s="25" t="s">
        <v>414</v>
      </c>
      <c r="L199" s="25" t="s">
        <v>459</v>
      </c>
      <c r="M199" s="15" t="s">
        <v>31</v>
      </c>
      <c r="N199" s="16" t="str">
        <f>Tabla14[[#This Row],[ABR_02]]</f>
        <v>BA</v>
      </c>
      <c r="O199" t="s">
        <v>32</v>
      </c>
      <c r="P199" t="s">
        <v>33</v>
      </c>
      <c r="Q199" t="s">
        <v>32</v>
      </c>
      <c r="R199" t="s">
        <v>35</v>
      </c>
      <c r="S199" t="str">
        <f>_xlfn.CONCAT(Tabla14[[#This Row],[ABR_01]],"X",Tabla14[[#This Row],[ABR_02]],Tabla14[[#This Row],[ZONA2]],,"X",Tabla14[[#This Row],[PARADA2]])</f>
        <v>ARXBA3X39</v>
      </c>
      <c r="T199" t="str">
        <f>Tabla14[[#This Row],[ABR_01]]&amp;Tabla14[[#This Row],[ABR_02]]&amp;Tabla14[[#This Row],[PARADA2]]</f>
        <v>ARBA39</v>
      </c>
      <c r="U199" s="37" t="s">
        <v>36</v>
      </c>
      <c r="V199" s="37" t="s">
        <v>36</v>
      </c>
      <c r="W199">
        <f>LEN(Tabla14[[#This Row],[Transport Zone 2]])</f>
        <v>9</v>
      </c>
    </row>
    <row r="200" spans="2:23" hidden="1" x14ac:dyDescent="0.2">
      <c r="B200" s="19" t="s">
        <v>40</v>
      </c>
      <c r="C200" s="8" t="s">
        <v>460</v>
      </c>
      <c r="D200" s="17" t="s">
        <v>460</v>
      </c>
      <c r="E200" s="9" t="s">
        <v>367</v>
      </c>
      <c r="F200" s="10" t="s">
        <v>272</v>
      </c>
      <c r="G200" s="13" t="s">
        <v>413</v>
      </c>
      <c r="H200" s="10">
        <v>818</v>
      </c>
      <c r="I200" s="24" t="s">
        <v>27</v>
      </c>
      <c r="J200" s="24" t="s">
        <v>370</v>
      </c>
      <c r="K200" s="25" t="s">
        <v>414</v>
      </c>
      <c r="L200" s="25" t="s">
        <v>461</v>
      </c>
      <c r="M200" s="15" t="s">
        <v>31</v>
      </c>
      <c r="N200" s="16" t="str">
        <f>Tabla14[[#This Row],[ABR_02]]</f>
        <v>BA</v>
      </c>
      <c r="O200" t="s">
        <v>32</v>
      </c>
      <c r="P200" t="s">
        <v>33</v>
      </c>
      <c r="Q200" t="s">
        <v>32</v>
      </c>
      <c r="R200" t="s">
        <v>35</v>
      </c>
      <c r="S200" t="str">
        <f>_xlfn.CONCAT(Tabla14[[#This Row],[ABR_01]],"X",Tabla14[[#This Row],[ABR_02]],Tabla14[[#This Row],[ZONA2]],,"X",Tabla14[[#This Row],[PARADA2]])</f>
        <v>ARXBA3X40</v>
      </c>
      <c r="T200" t="str">
        <f>Tabla14[[#This Row],[ABR_01]]&amp;Tabla14[[#This Row],[ABR_02]]&amp;Tabla14[[#This Row],[PARADA2]]</f>
        <v>ARBA40</v>
      </c>
      <c r="U200" s="37" t="s">
        <v>36</v>
      </c>
      <c r="V200" s="37" t="s">
        <v>36</v>
      </c>
      <c r="W200">
        <f>LEN(Tabla14[[#This Row],[Transport Zone 2]])</f>
        <v>9</v>
      </c>
    </row>
    <row r="201" spans="2:23" hidden="1" x14ac:dyDescent="0.2">
      <c r="B201" s="19" t="s">
        <v>40</v>
      </c>
      <c r="C201" s="8" t="s">
        <v>462</v>
      </c>
      <c r="D201" s="17" t="s">
        <v>462</v>
      </c>
      <c r="E201" s="9" t="s">
        <v>367</v>
      </c>
      <c r="F201" s="10" t="s">
        <v>272</v>
      </c>
      <c r="G201" s="13" t="s">
        <v>413</v>
      </c>
      <c r="H201" s="10">
        <v>819</v>
      </c>
      <c r="I201" s="24" t="s">
        <v>27</v>
      </c>
      <c r="J201" s="24" t="s">
        <v>370</v>
      </c>
      <c r="K201" s="25" t="s">
        <v>414</v>
      </c>
      <c r="L201" s="25" t="s">
        <v>463</v>
      </c>
      <c r="M201" s="15" t="s">
        <v>31</v>
      </c>
      <c r="N201" s="16" t="str">
        <f>Tabla14[[#This Row],[ABR_02]]</f>
        <v>BA</v>
      </c>
      <c r="O201" t="s">
        <v>32</v>
      </c>
      <c r="P201" t="s">
        <v>33</v>
      </c>
      <c r="Q201" t="s">
        <v>32</v>
      </c>
      <c r="R201" t="s">
        <v>35</v>
      </c>
      <c r="S201" t="str">
        <f>_xlfn.CONCAT(Tabla14[[#This Row],[ABR_01]],"X",Tabla14[[#This Row],[ABR_02]],Tabla14[[#This Row],[ZONA2]],,"X",Tabla14[[#This Row],[PARADA2]])</f>
        <v>ARXBA3X41</v>
      </c>
      <c r="T201" t="str">
        <f>Tabla14[[#This Row],[ABR_01]]&amp;Tabla14[[#This Row],[ABR_02]]&amp;Tabla14[[#This Row],[PARADA2]]</f>
        <v>ARBA41</v>
      </c>
      <c r="U201" s="37" t="s">
        <v>36</v>
      </c>
      <c r="V201" s="37" t="s">
        <v>36</v>
      </c>
      <c r="W201">
        <f>LEN(Tabla14[[#This Row],[Transport Zone 2]])</f>
        <v>9</v>
      </c>
    </row>
    <row r="202" spans="2:23" hidden="1" x14ac:dyDescent="0.2">
      <c r="B202" s="19" t="s">
        <v>40</v>
      </c>
      <c r="C202" s="8" t="s">
        <v>464</v>
      </c>
      <c r="D202" s="12" t="s">
        <v>465</v>
      </c>
      <c r="E202" s="9" t="s">
        <v>367</v>
      </c>
      <c r="F202" s="10" t="s">
        <v>109</v>
      </c>
      <c r="G202" s="13">
        <v>342</v>
      </c>
      <c r="H202" s="10">
        <v>775</v>
      </c>
      <c r="I202" s="24" t="s">
        <v>27</v>
      </c>
      <c r="J202" s="24" t="s">
        <v>370</v>
      </c>
      <c r="K202" s="25" t="s">
        <v>414</v>
      </c>
      <c r="L202" s="25" t="s">
        <v>466</v>
      </c>
      <c r="M202" s="15" t="s">
        <v>31</v>
      </c>
      <c r="N202" s="16" t="str">
        <f>Tabla14[[#This Row],[ABR_02]]</f>
        <v>BA</v>
      </c>
      <c r="O202" t="s">
        <v>32</v>
      </c>
      <c r="P202" t="s">
        <v>33</v>
      </c>
      <c r="Q202" t="s">
        <v>32</v>
      </c>
      <c r="R202" t="s">
        <v>35</v>
      </c>
      <c r="S202" t="str">
        <f>_xlfn.CONCAT(Tabla14[[#This Row],[ABR_01]],"X",Tabla14[[#This Row],[ABR_02]],Tabla14[[#This Row],[ZONA2]],,"X",Tabla14[[#This Row],[PARADA2]])</f>
        <v>ARXBA3X42</v>
      </c>
      <c r="T202" t="str">
        <f>Tabla14[[#This Row],[ABR_01]]&amp;Tabla14[[#This Row],[ABR_02]]&amp;Tabla14[[#This Row],[PARADA2]]</f>
        <v>ARBA42</v>
      </c>
      <c r="U202" s="37" t="s">
        <v>36</v>
      </c>
      <c r="V202" s="37" t="s">
        <v>36</v>
      </c>
      <c r="W202">
        <f>LEN(Tabla14[[#This Row],[Transport Zone 2]])</f>
        <v>9</v>
      </c>
    </row>
    <row r="203" spans="2:23" hidden="1" x14ac:dyDescent="0.2">
      <c r="B203" s="19" t="s">
        <v>40</v>
      </c>
      <c r="C203" s="12" t="s">
        <v>467</v>
      </c>
      <c r="D203" s="12" t="s">
        <v>467</v>
      </c>
      <c r="E203" s="9" t="s">
        <v>367</v>
      </c>
      <c r="F203" s="10" t="s">
        <v>272</v>
      </c>
      <c r="G203" s="13" t="s">
        <v>413</v>
      </c>
      <c r="H203" s="10" t="s">
        <v>468</v>
      </c>
      <c r="I203" s="24" t="s">
        <v>27</v>
      </c>
      <c r="J203" s="24" t="s">
        <v>370</v>
      </c>
      <c r="K203" s="25" t="s">
        <v>414</v>
      </c>
      <c r="L203" s="25" t="s">
        <v>469</v>
      </c>
      <c r="M203" s="15" t="s">
        <v>31</v>
      </c>
      <c r="N203" s="16" t="str">
        <f>Tabla14[[#This Row],[ABR_02]]</f>
        <v>BA</v>
      </c>
      <c r="O203" t="s">
        <v>32</v>
      </c>
      <c r="P203" t="s">
        <v>33</v>
      </c>
      <c r="Q203" t="s">
        <v>32</v>
      </c>
      <c r="R203" t="s">
        <v>35</v>
      </c>
      <c r="S203" t="str">
        <f>_xlfn.CONCAT(Tabla14[[#This Row],[ABR_01]],"X",Tabla14[[#This Row],[ABR_02]],Tabla14[[#This Row],[ZONA2]],,"X",Tabla14[[#This Row],[PARADA2]])</f>
        <v>ARXBA3X43</v>
      </c>
      <c r="T203" t="str">
        <f>Tabla14[[#This Row],[ABR_01]]&amp;Tabla14[[#This Row],[ABR_02]]&amp;Tabla14[[#This Row],[PARADA2]]</f>
        <v>ARBA43</v>
      </c>
      <c r="U203" s="37" t="s">
        <v>36</v>
      </c>
      <c r="V203" s="37" t="s">
        <v>36</v>
      </c>
      <c r="W203">
        <f>LEN(Tabla14[[#This Row],[Transport Zone 2]])</f>
        <v>9</v>
      </c>
    </row>
    <row r="204" spans="2:23" hidden="1" x14ac:dyDescent="0.2">
      <c r="B204" s="19" t="s">
        <v>24</v>
      </c>
      <c r="C204" s="8" t="s">
        <v>470</v>
      </c>
      <c r="D204" s="8" t="s">
        <v>470</v>
      </c>
      <c r="E204" s="9" t="s">
        <v>471</v>
      </c>
      <c r="F204" s="10"/>
      <c r="G204" s="13"/>
      <c r="H204" s="10"/>
      <c r="I204" s="24" t="s">
        <v>27</v>
      </c>
      <c r="J204" s="24" t="s">
        <v>472</v>
      </c>
      <c r="K204" s="25" t="s">
        <v>29</v>
      </c>
      <c r="L204" s="25" t="s">
        <v>48</v>
      </c>
      <c r="M204" s="15" t="s">
        <v>31</v>
      </c>
      <c r="N204" s="16" t="str">
        <f>Tabla14[[#This Row],[ABR_02]]</f>
        <v>PA</v>
      </c>
      <c r="O204" t="s">
        <v>32</v>
      </c>
      <c r="P204" t="s">
        <v>33</v>
      </c>
      <c r="Q204" t="s">
        <v>34</v>
      </c>
      <c r="R204" t="s">
        <v>35</v>
      </c>
      <c r="S204" t="str">
        <f>_xlfn.CONCAT(Tabla14[[#This Row],[ABR_01]],"X",Tabla14[[#This Row],[ABR_02]],Tabla14[[#This Row],[ZONA2]],,"X",Tabla14[[#This Row],[PARADA2]])</f>
        <v>ARXPA1X03</v>
      </c>
      <c r="T204" t="str">
        <f>Tabla14[[#This Row],[ABR_01]]&amp;Tabla14[[#This Row],[ABR_02]]&amp;Tabla14[[#This Row],[PARADA2]]</f>
        <v>ARPA03</v>
      </c>
      <c r="U204" s="37" t="s">
        <v>36</v>
      </c>
      <c r="V204" s="37" t="s">
        <v>36</v>
      </c>
      <c r="W204">
        <f>LEN(Tabla14[[#This Row],[Transport Zone 2]])</f>
        <v>9</v>
      </c>
    </row>
    <row r="205" spans="2:23" hidden="1" x14ac:dyDescent="0.2">
      <c r="B205" s="19" t="s">
        <v>24</v>
      </c>
      <c r="C205" s="8" t="s">
        <v>473</v>
      </c>
      <c r="D205" s="8" t="s">
        <v>473</v>
      </c>
      <c r="E205" s="31" t="s">
        <v>474</v>
      </c>
      <c r="F205" s="32"/>
      <c r="G205" s="33"/>
      <c r="H205" s="10"/>
      <c r="I205" s="24" t="s">
        <v>27</v>
      </c>
      <c r="J205" s="24" t="s">
        <v>475</v>
      </c>
      <c r="K205" s="25" t="s">
        <v>29</v>
      </c>
      <c r="L205" s="25" t="s">
        <v>51</v>
      </c>
      <c r="M205" s="15" t="s">
        <v>31</v>
      </c>
      <c r="N205" s="34" t="str">
        <f>Tabla14[[#This Row],[ABR_02]]</f>
        <v>CL</v>
      </c>
      <c r="O205" t="s">
        <v>32</v>
      </c>
      <c r="P205" t="s">
        <v>33</v>
      </c>
      <c r="Q205" t="s">
        <v>34</v>
      </c>
      <c r="R205" t="s">
        <v>35</v>
      </c>
      <c r="S205" t="str">
        <f>_xlfn.CONCAT(Tabla14[[#This Row],[ABR_01]],"X",Tabla14[[#This Row],[ABR_02]],Tabla14[[#This Row],[ZONA2]],,"X",Tabla14[[#This Row],[PARADA2]])</f>
        <v>ARXCL1X04</v>
      </c>
      <c r="T205" t="str">
        <f>Tabla14[[#This Row],[ABR_01]]&amp;Tabla14[[#This Row],[ABR_02]]&amp;Tabla14[[#This Row],[PARADA2]]</f>
        <v>ARCL04</v>
      </c>
      <c r="U205" s="37" t="s">
        <v>36</v>
      </c>
      <c r="V205" s="37" t="s">
        <v>36</v>
      </c>
      <c r="W205">
        <f>LEN(Tabla14[[#This Row],[Transport Zone 2]])</f>
        <v>9</v>
      </c>
    </row>
    <row r="206" spans="2:23" hidden="1" x14ac:dyDescent="0.2">
      <c r="B206" s="19" t="s">
        <v>24</v>
      </c>
      <c r="C206" s="8" t="s">
        <v>476</v>
      </c>
      <c r="D206" s="8" t="s">
        <v>476</v>
      </c>
      <c r="E206" s="31" t="s">
        <v>477</v>
      </c>
      <c r="F206" s="32"/>
      <c r="G206" s="33"/>
      <c r="H206" s="10"/>
      <c r="I206" s="24" t="s">
        <v>27</v>
      </c>
      <c r="J206" s="24" t="s">
        <v>478</v>
      </c>
      <c r="K206" s="25" t="s">
        <v>29</v>
      </c>
      <c r="L206" s="25" t="s">
        <v>46</v>
      </c>
      <c r="M206" s="15" t="s">
        <v>31</v>
      </c>
      <c r="N206" s="34" t="str">
        <f>Tabla14[[#This Row],[ABR_02]]</f>
        <v>BO</v>
      </c>
      <c r="O206" t="s">
        <v>32</v>
      </c>
      <c r="P206" t="s">
        <v>33</v>
      </c>
      <c r="Q206" t="s">
        <v>34</v>
      </c>
      <c r="R206" t="s">
        <v>35</v>
      </c>
      <c r="S206" t="str">
        <f>_xlfn.CONCAT(Tabla14[[#This Row],[ABR_01]],"X",Tabla14[[#This Row],[ABR_02]],Tabla14[[#This Row],[ZONA2]],,"X",Tabla14[[#This Row],[PARADA2]])</f>
        <v>ARXBO1X02</v>
      </c>
      <c r="T206" t="str">
        <f>Tabla14[[#This Row],[ABR_01]]&amp;Tabla14[[#This Row],[ABR_02]]&amp;Tabla14[[#This Row],[PARADA2]]</f>
        <v>ARBO02</v>
      </c>
      <c r="U206" s="37" t="s">
        <v>36</v>
      </c>
      <c r="V206" s="37" t="s">
        <v>36</v>
      </c>
      <c r="W206">
        <f>LEN(Tabla14[[#This Row],[Transport Zone 2]])</f>
        <v>9</v>
      </c>
    </row>
    <row r="207" spans="2:23" hidden="1" x14ac:dyDescent="0.2">
      <c r="B207" s="19"/>
      <c r="C207" s="8"/>
      <c r="E207" s="9"/>
      <c r="F207" s="10"/>
      <c r="G207" s="13"/>
      <c r="H207" s="10"/>
      <c r="I207" s="24"/>
      <c r="J207" s="24"/>
      <c r="K207" s="25"/>
      <c r="L207" s="25"/>
      <c r="M207" s="15"/>
      <c r="N207" s="16">
        <f>Tabla14[[#This Row],[ABR_02]]</f>
        <v>0</v>
      </c>
    </row>
    <row r="209" spans="1:5" x14ac:dyDescent="0.2">
      <c r="C209" t="s">
        <v>479</v>
      </c>
      <c r="D209" t="s">
        <v>480</v>
      </c>
    </row>
    <row r="210" spans="1:5" x14ac:dyDescent="0.2">
      <c r="C210" s="58" t="s">
        <v>18</v>
      </c>
      <c r="D210" s="58" t="s">
        <v>19</v>
      </c>
      <c r="E210" s="58" t="s">
        <v>20</v>
      </c>
    </row>
    <row r="211" spans="1:5" x14ac:dyDescent="0.2">
      <c r="A211" s="65" t="s">
        <v>481</v>
      </c>
      <c r="B211" s="66">
        <v>1</v>
      </c>
      <c r="C211" s="67" t="s">
        <v>35</v>
      </c>
      <c r="D211" s="67" t="s">
        <v>482</v>
      </c>
      <c r="E211" s="67" t="s">
        <v>483</v>
      </c>
    </row>
    <row r="212" spans="1:5" x14ac:dyDescent="0.2">
      <c r="A212" s="65" t="s">
        <v>481</v>
      </c>
      <c r="B212" s="66">
        <v>2</v>
      </c>
      <c r="C212" s="67" t="s">
        <v>35</v>
      </c>
      <c r="D212" s="67" t="s">
        <v>482</v>
      </c>
      <c r="E212" s="67" t="s">
        <v>483</v>
      </c>
    </row>
    <row r="213" spans="1:5" x14ac:dyDescent="0.2">
      <c r="A213" s="62" t="s">
        <v>481</v>
      </c>
      <c r="B213" s="63">
        <v>3</v>
      </c>
      <c r="C213" s="64" t="s">
        <v>35</v>
      </c>
      <c r="D213" s="64" t="s">
        <v>484</v>
      </c>
      <c r="E213" s="64" t="s">
        <v>485</v>
      </c>
    </row>
    <row r="214" spans="1:5" x14ac:dyDescent="0.2">
      <c r="A214" s="62" t="s">
        <v>481</v>
      </c>
      <c r="B214" s="63">
        <v>4</v>
      </c>
      <c r="C214" s="64" t="s">
        <v>35</v>
      </c>
      <c r="D214" s="64" t="s">
        <v>484</v>
      </c>
      <c r="E214" s="64" t="s">
        <v>485</v>
      </c>
    </row>
    <row r="215" spans="1:5" x14ac:dyDescent="0.2">
      <c r="A215" s="59" t="s">
        <v>481</v>
      </c>
      <c r="B215" s="60">
        <v>5</v>
      </c>
      <c r="C215" s="61" t="s">
        <v>35</v>
      </c>
      <c r="D215" s="61" t="s">
        <v>484</v>
      </c>
      <c r="E215" s="61" t="s">
        <v>485</v>
      </c>
    </row>
    <row r="216" spans="1:5" x14ac:dyDescent="0.2">
      <c r="A216" s="59" t="s">
        <v>481</v>
      </c>
      <c r="B216" s="60">
        <v>6</v>
      </c>
      <c r="C216" s="61" t="s">
        <v>35</v>
      </c>
      <c r="D216" s="61" t="s">
        <v>484</v>
      </c>
      <c r="E216" s="61" t="s">
        <v>485</v>
      </c>
    </row>
    <row r="217" spans="1:5" x14ac:dyDescent="0.2">
      <c r="A217" s="59" t="s">
        <v>481</v>
      </c>
      <c r="B217" s="60">
        <v>7</v>
      </c>
      <c r="C217" s="61" t="s">
        <v>35</v>
      </c>
      <c r="D217" s="61" t="s">
        <v>484</v>
      </c>
      <c r="E217" s="61" t="s">
        <v>485</v>
      </c>
    </row>
    <row r="1048571" spans="17:17" x14ac:dyDescent="0.2">
      <c r="Q1048571" s="23"/>
    </row>
  </sheetData>
  <mergeCells count="2">
    <mergeCell ref="M1:S1"/>
    <mergeCell ref="U1:V1"/>
  </mergeCells>
  <conditionalFormatting sqref="H2:H207">
    <cfRule type="duplicateValues" dxfId="10" priority="5"/>
  </conditionalFormatting>
  <conditionalFormatting sqref="AC2:AC5">
    <cfRule type="duplicateValues" dxfId="9" priority="1"/>
    <cfRule type="duplicateValues" dxfId="8" priority="2"/>
  </conditionalFormatting>
  <conditionalFormatting sqref="AC6:AC7">
    <cfRule type="duplicateValues" dxfId="7" priority="3"/>
    <cfRule type="duplicateValues" dxfId="6" priority="4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47B4-6969-4F5C-A906-E03DC9E291C3}">
  <dimension ref="B1:AK1048575"/>
  <sheetViews>
    <sheetView showGridLines="0" tabSelected="1" topLeftCell="E1" zoomScaleNormal="100" workbookViewId="0">
      <selection activeCell="R4" sqref="R4"/>
    </sheetView>
  </sheetViews>
  <sheetFormatPr baseColWidth="10" defaultColWidth="11.5" defaultRowHeight="15" x14ac:dyDescent="0.2"/>
  <cols>
    <col min="2" max="2" width="7.33203125" bestFit="1" customWidth="1"/>
    <col min="3" max="3" width="23.6640625" bestFit="1" customWidth="1"/>
    <col min="4" max="4" width="23.83203125" bestFit="1" customWidth="1"/>
    <col min="5" max="5" width="42.33203125" bestFit="1" customWidth="1"/>
    <col min="6" max="6" width="4.6640625" bestFit="1" customWidth="1"/>
    <col min="7" max="7" width="5.5" bestFit="1" customWidth="1"/>
    <col min="8" max="8" width="6.33203125" bestFit="1" customWidth="1"/>
    <col min="9" max="10" width="7.1640625" bestFit="1" customWidth="1"/>
    <col min="11" max="11" width="6.5" style="21" bestFit="1" customWidth="1"/>
    <col min="12" max="12" width="8.83203125" style="21" bestFit="1" customWidth="1"/>
    <col min="13" max="13" width="5.83203125" bestFit="1" customWidth="1"/>
    <col min="14" max="14" width="3.5" bestFit="1" customWidth="1"/>
    <col min="15" max="15" width="8.1640625" bestFit="1" customWidth="1"/>
    <col min="16" max="16" width="15.6640625" bestFit="1" customWidth="1"/>
    <col min="17" max="17" width="10.33203125" bestFit="1" customWidth="1"/>
    <col min="18" max="18" width="14.5" style="29" bestFit="1" customWidth="1"/>
    <col min="19" max="19" width="6.33203125" bestFit="1" customWidth="1"/>
    <col min="20" max="20" width="5.1640625" style="21" bestFit="1" customWidth="1"/>
    <col min="21" max="21" width="8.5" bestFit="1" customWidth="1"/>
    <col min="25" max="25" width="5.1640625" bestFit="1" customWidth="1"/>
    <col min="26" max="26" width="6.1640625" bestFit="1" customWidth="1"/>
    <col min="27" max="27" width="7.33203125" bestFit="1" customWidth="1"/>
    <col min="35" max="35" width="11" bestFit="1" customWidth="1"/>
    <col min="36" max="36" width="4.83203125" bestFit="1" customWidth="1"/>
    <col min="37" max="37" width="4.1640625" bestFit="1" customWidth="1"/>
  </cols>
  <sheetData>
    <row r="1" spans="2:37" ht="16" thickBot="1" x14ac:dyDescent="0.25">
      <c r="D1" s="68"/>
      <c r="M1" s="74" t="s">
        <v>0</v>
      </c>
      <c r="N1" s="75"/>
      <c r="O1" s="75"/>
      <c r="P1" s="75"/>
      <c r="Q1" s="75"/>
      <c r="R1" s="76"/>
      <c r="S1" s="74" t="s">
        <v>1</v>
      </c>
      <c r="T1" s="75"/>
    </row>
    <row r="2" spans="2:37" ht="17" thickTop="1" thickBot="1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6" t="s">
        <v>9</v>
      </c>
      <c r="J2" s="26" t="s">
        <v>10</v>
      </c>
      <c r="K2" s="27" t="s">
        <v>11</v>
      </c>
      <c r="L2" s="27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0" t="s">
        <v>17</v>
      </c>
      <c r="R2" s="30" t="s">
        <v>784</v>
      </c>
      <c r="S2" s="35" t="s">
        <v>21</v>
      </c>
      <c r="T2" s="36" t="s">
        <v>22</v>
      </c>
      <c r="U2" s="1" t="s">
        <v>486</v>
      </c>
      <c r="Y2" s="41"/>
      <c r="Z2" s="41"/>
      <c r="AA2" s="41"/>
    </row>
    <row r="3" spans="2:37" ht="16" thickTop="1" x14ac:dyDescent="0.2">
      <c r="B3" s="19" t="s">
        <v>24</v>
      </c>
      <c r="C3" s="8" t="s">
        <v>25</v>
      </c>
      <c r="D3" s="8" t="s">
        <v>25</v>
      </c>
      <c r="E3" s="9" t="s">
        <v>26</v>
      </c>
      <c r="F3" s="10" t="s">
        <v>487</v>
      </c>
      <c r="G3" s="69" t="s">
        <v>488</v>
      </c>
      <c r="H3" s="73" t="s">
        <v>488</v>
      </c>
      <c r="I3" s="24" t="s">
        <v>27</v>
      </c>
      <c r="J3" s="24" t="s">
        <v>28</v>
      </c>
      <c r="K3" s="25" t="s">
        <v>29</v>
      </c>
      <c r="L3" s="25" t="s">
        <v>30</v>
      </c>
      <c r="M3" s="15" t="s">
        <v>31</v>
      </c>
      <c r="N3" s="16" t="str">
        <f>Tabla1[[#This Row],[ABR_02]]</f>
        <v>UR</v>
      </c>
      <c r="O3" t="s">
        <v>32</v>
      </c>
      <c r="P3" t="s">
        <v>33</v>
      </c>
      <c r="Q3" t="s">
        <v>34</v>
      </c>
      <c r="R3" s="29" t="str">
        <f>_xlfn.CONCAT(Tabla1[[#This Row],[ABR_01]],"00",Tabla1[[#This Row],[ABR_02]],Tabla1[[#This Row],[ZONA2]],,"0",Tabla1[[#This Row],[PARADA2]])</f>
        <v>AR00UR1001</v>
      </c>
      <c r="S3" s="37" t="s">
        <v>36</v>
      </c>
      <c r="T3" s="37" t="s">
        <v>36</v>
      </c>
      <c r="U3" s="10" t="s">
        <v>487</v>
      </c>
      <c r="Y3" s="42"/>
      <c r="Z3" s="43"/>
      <c r="AA3" s="42"/>
      <c r="AI3" t="s">
        <v>37</v>
      </c>
      <c r="AJ3" t="s">
        <v>38</v>
      </c>
      <c r="AK3" s="22" t="s">
        <v>39</v>
      </c>
    </row>
    <row r="4" spans="2:37" x14ac:dyDescent="0.2">
      <c r="B4" s="19" t="s">
        <v>40</v>
      </c>
      <c r="C4" s="8" t="s">
        <v>41</v>
      </c>
      <c r="D4" s="17" t="s">
        <v>41</v>
      </c>
      <c r="E4" s="9" t="s">
        <v>42</v>
      </c>
      <c r="F4" s="10" t="s">
        <v>43</v>
      </c>
      <c r="G4" s="70" t="s">
        <v>489</v>
      </c>
      <c r="H4" s="73" t="s">
        <v>490</v>
      </c>
      <c r="I4" s="24" t="s">
        <v>27</v>
      </c>
      <c r="J4" s="24" t="s">
        <v>44</v>
      </c>
      <c r="K4" s="25" t="s">
        <v>29</v>
      </c>
      <c r="L4" s="25" t="s">
        <v>30</v>
      </c>
      <c r="M4" s="15" t="s">
        <v>31</v>
      </c>
      <c r="N4" s="16" t="str">
        <f>Tabla1[[#This Row],[ABR_02]]</f>
        <v>NQ</v>
      </c>
      <c r="O4" t="s">
        <v>32</v>
      </c>
      <c r="P4" t="s">
        <v>33</v>
      </c>
      <c r="Q4" t="s">
        <v>32</v>
      </c>
      <c r="R4" s="29" t="str">
        <f>_xlfn.CONCAT(Tabla1[[#This Row],[ABR_01]],"00",Tabla1[[#This Row],[ABR_02]],Tabla1[[#This Row],[ZONA2]],,"0",Tabla1[[#This Row],[PARADA2]])</f>
        <v>AR00NQ1001</v>
      </c>
      <c r="S4" s="37" t="s">
        <v>36</v>
      </c>
      <c r="T4" s="37" t="s">
        <v>36</v>
      </c>
      <c r="U4" s="10" t="s">
        <v>43</v>
      </c>
      <c r="Y4" s="42"/>
      <c r="Z4" s="43"/>
      <c r="AA4" s="42"/>
      <c r="AI4" t="str">
        <f>AI3&amp;AJ3&amp;AK3</f>
        <v>ARG_01_001</v>
      </c>
    </row>
    <row r="5" spans="2:37" x14ac:dyDescent="0.2">
      <c r="B5" s="19" t="s">
        <v>40</v>
      </c>
      <c r="C5" s="8" t="s">
        <v>45</v>
      </c>
      <c r="D5" s="17" t="s">
        <v>45</v>
      </c>
      <c r="E5" s="9" t="s">
        <v>42</v>
      </c>
      <c r="F5" s="10" t="s">
        <v>43</v>
      </c>
      <c r="G5" s="70" t="s">
        <v>489</v>
      </c>
      <c r="H5" s="73" t="s">
        <v>491</v>
      </c>
      <c r="I5" s="24" t="s">
        <v>27</v>
      </c>
      <c r="J5" s="24" t="s">
        <v>44</v>
      </c>
      <c r="K5" s="25" t="s">
        <v>29</v>
      </c>
      <c r="L5" s="25" t="s">
        <v>46</v>
      </c>
      <c r="M5" s="15" t="s">
        <v>31</v>
      </c>
      <c r="N5" s="16" t="str">
        <f>Tabla1[[#This Row],[ABR_02]]</f>
        <v>NQ</v>
      </c>
      <c r="O5" t="s">
        <v>32</v>
      </c>
      <c r="P5" t="s">
        <v>33</v>
      </c>
      <c r="Q5" t="s">
        <v>32</v>
      </c>
      <c r="R5" s="29" t="str">
        <f>_xlfn.CONCAT(Tabla1[[#This Row],[ABR_01]],"00",Tabla1[[#This Row],[ABR_02]],Tabla1[[#This Row],[ZONA2]],,"0",Tabla1[[#This Row],[PARADA2]])</f>
        <v>AR00NQ1002</v>
      </c>
      <c r="S5" s="37" t="s">
        <v>36</v>
      </c>
      <c r="T5" s="37" t="s">
        <v>36</v>
      </c>
      <c r="U5" s="10" t="s">
        <v>43</v>
      </c>
      <c r="Y5" s="42"/>
      <c r="Z5" s="43"/>
      <c r="AA5" s="44"/>
    </row>
    <row r="6" spans="2:37" x14ac:dyDescent="0.2">
      <c r="B6" s="19" t="s">
        <v>40</v>
      </c>
      <c r="C6" s="8" t="s">
        <v>47</v>
      </c>
      <c r="D6" s="17" t="s">
        <v>47</v>
      </c>
      <c r="E6" s="9" t="s">
        <v>42</v>
      </c>
      <c r="F6" s="10" t="s">
        <v>43</v>
      </c>
      <c r="G6" s="70" t="s">
        <v>489</v>
      </c>
      <c r="H6" s="73" t="s">
        <v>492</v>
      </c>
      <c r="I6" s="24" t="s">
        <v>27</v>
      </c>
      <c r="J6" s="24" t="s">
        <v>44</v>
      </c>
      <c r="K6" s="25" t="s">
        <v>29</v>
      </c>
      <c r="L6" s="25" t="s">
        <v>48</v>
      </c>
      <c r="M6" s="15" t="s">
        <v>31</v>
      </c>
      <c r="N6" s="16" t="str">
        <f>Tabla1[[#This Row],[ABR_02]]</f>
        <v>NQ</v>
      </c>
      <c r="O6" t="s">
        <v>32</v>
      </c>
      <c r="P6" t="s">
        <v>33</v>
      </c>
      <c r="Q6" t="s">
        <v>32</v>
      </c>
      <c r="R6" s="29" t="str">
        <f>_xlfn.CONCAT(Tabla1[[#This Row],[ABR_01]],"00",Tabla1[[#This Row],[ABR_02]],Tabla1[[#This Row],[ZONA2]],,"0",Tabla1[[#This Row],[PARADA2]])</f>
        <v>AR00NQ1003</v>
      </c>
      <c r="S6" s="37" t="s">
        <v>36</v>
      </c>
      <c r="T6" s="37" t="s">
        <v>36</v>
      </c>
      <c r="U6" s="10" t="s">
        <v>43</v>
      </c>
      <c r="Y6" s="42"/>
      <c r="Z6" s="43"/>
      <c r="AA6" s="42"/>
    </row>
    <row r="7" spans="2:37" x14ac:dyDescent="0.2">
      <c r="B7" s="19" t="s">
        <v>40</v>
      </c>
      <c r="C7" s="8" t="s">
        <v>49</v>
      </c>
      <c r="D7" s="12" t="s">
        <v>50</v>
      </c>
      <c r="E7" s="9" t="s">
        <v>42</v>
      </c>
      <c r="F7" s="10" t="s">
        <v>43</v>
      </c>
      <c r="G7" s="70" t="s">
        <v>489</v>
      </c>
      <c r="H7" s="73" t="s">
        <v>493</v>
      </c>
      <c r="I7" s="24" t="s">
        <v>27</v>
      </c>
      <c r="J7" s="24" t="s">
        <v>44</v>
      </c>
      <c r="K7" s="25" t="s">
        <v>29</v>
      </c>
      <c r="L7" s="25" t="s">
        <v>51</v>
      </c>
      <c r="M7" s="15" t="s">
        <v>31</v>
      </c>
      <c r="N7" s="16" t="str">
        <f>Tabla1[[#This Row],[ABR_02]]</f>
        <v>NQ</v>
      </c>
      <c r="O7" t="s">
        <v>32</v>
      </c>
      <c r="P7" t="s">
        <v>33</v>
      </c>
      <c r="Q7" t="s">
        <v>32</v>
      </c>
      <c r="R7" s="29" t="str">
        <f>_xlfn.CONCAT(Tabla1[[#This Row],[ABR_01]],"00",Tabla1[[#This Row],[ABR_02]],Tabla1[[#This Row],[ZONA2]],,"0",Tabla1[[#This Row],[PARADA2]])</f>
        <v>AR00NQ1004</v>
      </c>
      <c r="S7" s="37" t="s">
        <v>36</v>
      </c>
      <c r="T7" s="37" t="s">
        <v>36</v>
      </c>
      <c r="U7" s="10" t="s">
        <v>43</v>
      </c>
      <c r="Y7" s="42"/>
      <c r="Z7" s="43"/>
      <c r="AA7" s="42"/>
    </row>
    <row r="8" spans="2:37" x14ac:dyDescent="0.2">
      <c r="B8" s="19" t="s">
        <v>40</v>
      </c>
      <c r="C8" s="8" t="s">
        <v>52</v>
      </c>
      <c r="D8" s="12" t="s">
        <v>53</v>
      </c>
      <c r="E8" s="9" t="s">
        <v>54</v>
      </c>
      <c r="F8" s="10" t="s">
        <v>55</v>
      </c>
      <c r="G8" s="69" t="s">
        <v>494</v>
      </c>
      <c r="H8" s="73" t="s">
        <v>495</v>
      </c>
      <c r="I8" s="24" t="s">
        <v>27</v>
      </c>
      <c r="J8" s="24" t="s">
        <v>56</v>
      </c>
      <c r="K8" s="25" t="s">
        <v>29</v>
      </c>
      <c r="L8" s="25" t="s">
        <v>30</v>
      </c>
      <c r="M8" s="15" t="s">
        <v>31</v>
      </c>
      <c r="N8" s="16" t="str">
        <f>Tabla1[[#This Row],[ABR_02]]</f>
        <v>CT</v>
      </c>
      <c r="O8" t="s">
        <v>32</v>
      </c>
      <c r="P8" t="s">
        <v>33</v>
      </c>
      <c r="Q8" t="s">
        <v>57</v>
      </c>
      <c r="R8" s="29" t="str">
        <f>_xlfn.CONCAT(Tabla1[[#This Row],[ABR_01]],"00",Tabla1[[#This Row],[ABR_02]],Tabla1[[#This Row],[ZONA2]],,"0",Tabla1[[#This Row],[PARADA2]])</f>
        <v>AR00CT1001</v>
      </c>
      <c r="S8" s="37" t="s">
        <v>36</v>
      </c>
      <c r="T8" s="37" t="s">
        <v>36</v>
      </c>
      <c r="U8" s="10" t="s">
        <v>55</v>
      </c>
    </row>
    <row r="9" spans="2:37" x14ac:dyDescent="0.2">
      <c r="B9" s="19" t="s">
        <v>40</v>
      </c>
      <c r="C9" s="8" t="s">
        <v>58</v>
      </c>
      <c r="D9" s="12" t="s">
        <v>59</v>
      </c>
      <c r="E9" s="9" t="s">
        <v>54</v>
      </c>
      <c r="F9" s="10" t="s">
        <v>55</v>
      </c>
      <c r="G9" s="69" t="s">
        <v>494</v>
      </c>
      <c r="H9" s="73" t="s">
        <v>496</v>
      </c>
      <c r="I9" s="24" t="s">
        <v>27</v>
      </c>
      <c r="J9" s="24" t="s">
        <v>56</v>
      </c>
      <c r="K9" s="25" t="s">
        <v>29</v>
      </c>
      <c r="L9" s="25" t="s">
        <v>46</v>
      </c>
      <c r="M9" s="15" t="s">
        <v>31</v>
      </c>
      <c r="N9" s="16" t="str">
        <f>Tabla1[[#This Row],[ABR_02]]</f>
        <v>CT</v>
      </c>
      <c r="O9" t="s">
        <v>32</v>
      </c>
      <c r="P9" t="s">
        <v>33</v>
      </c>
      <c r="Q9" t="s">
        <v>57</v>
      </c>
      <c r="R9" s="29" t="str">
        <f>_xlfn.CONCAT(Tabla1[[#This Row],[ABR_01]],"00",Tabla1[[#This Row],[ABR_02]],Tabla1[[#This Row],[ZONA2]],,"0",Tabla1[[#This Row],[PARADA2]])</f>
        <v>AR00CT1002</v>
      </c>
      <c r="S9" s="37" t="s">
        <v>36</v>
      </c>
      <c r="T9" s="37" t="s">
        <v>36</v>
      </c>
      <c r="U9" s="10" t="s">
        <v>55</v>
      </c>
    </row>
    <row r="10" spans="2:37" x14ac:dyDescent="0.2">
      <c r="B10" s="19" t="s">
        <v>40</v>
      </c>
      <c r="C10" s="8" t="s">
        <v>60</v>
      </c>
      <c r="D10" s="17" t="s">
        <v>61</v>
      </c>
      <c r="E10" s="9" t="s">
        <v>54</v>
      </c>
      <c r="F10" s="10" t="s">
        <v>55</v>
      </c>
      <c r="G10" s="69" t="s">
        <v>494</v>
      </c>
      <c r="H10" s="73" t="s">
        <v>497</v>
      </c>
      <c r="I10" s="24" t="s">
        <v>27</v>
      </c>
      <c r="J10" s="24" t="s">
        <v>56</v>
      </c>
      <c r="K10" s="25" t="s">
        <v>29</v>
      </c>
      <c r="L10" s="25" t="s">
        <v>48</v>
      </c>
      <c r="M10" s="15" t="s">
        <v>31</v>
      </c>
      <c r="N10" s="16" t="str">
        <f>Tabla1[[#This Row],[ABR_02]]</f>
        <v>CT</v>
      </c>
      <c r="O10" t="s">
        <v>32</v>
      </c>
      <c r="P10" t="s">
        <v>33</v>
      </c>
      <c r="Q10" t="s">
        <v>57</v>
      </c>
      <c r="R10" s="29" t="str">
        <f>_xlfn.CONCAT(Tabla1[[#This Row],[ABR_01]],"00",Tabla1[[#This Row],[ABR_02]],Tabla1[[#This Row],[ZONA2]],,"0",Tabla1[[#This Row],[PARADA2]])</f>
        <v>AR00CT1003</v>
      </c>
      <c r="S10" s="37" t="s">
        <v>36</v>
      </c>
      <c r="T10" s="37" t="s">
        <v>36</v>
      </c>
      <c r="U10" s="10" t="s">
        <v>55</v>
      </c>
    </row>
    <row r="11" spans="2:37" x14ac:dyDescent="0.2">
      <c r="B11" s="19" t="s">
        <v>40</v>
      </c>
      <c r="C11" s="8" t="s">
        <v>62</v>
      </c>
      <c r="D11" s="17" t="s">
        <v>62</v>
      </c>
      <c r="E11" s="9" t="s">
        <v>54</v>
      </c>
      <c r="F11" s="10" t="s">
        <v>55</v>
      </c>
      <c r="G11" s="69" t="s">
        <v>494</v>
      </c>
      <c r="H11" s="73" t="s">
        <v>498</v>
      </c>
      <c r="I11" s="24" t="s">
        <v>27</v>
      </c>
      <c r="J11" s="24" t="s">
        <v>56</v>
      </c>
      <c r="K11" s="25" t="s">
        <v>29</v>
      </c>
      <c r="L11" s="25" t="s">
        <v>51</v>
      </c>
      <c r="M11" s="15" t="s">
        <v>31</v>
      </c>
      <c r="N11" s="16" t="str">
        <f>Tabla1[[#This Row],[ABR_02]]</f>
        <v>CT</v>
      </c>
      <c r="O11" t="s">
        <v>32</v>
      </c>
      <c r="P11" t="s">
        <v>33</v>
      </c>
      <c r="Q11" t="s">
        <v>57</v>
      </c>
      <c r="R11" s="29" t="str">
        <f>_xlfn.CONCAT(Tabla1[[#This Row],[ABR_01]],"00",Tabla1[[#This Row],[ABR_02]],Tabla1[[#This Row],[ZONA2]],,"0",Tabla1[[#This Row],[PARADA2]])</f>
        <v>AR00CT1004</v>
      </c>
      <c r="S11" s="37" t="s">
        <v>36</v>
      </c>
      <c r="T11" s="37" t="s">
        <v>36</v>
      </c>
      <c r="U11" s="10" t="s">
        <v>55</v>
      </c>
    </row>
    <row r="12" spans="2:37" x14ac:dyDescent="0.2">
      <c r="B12" s="19" t="s">
        <v>40</v>
      </c>
      <c r="C12" s="8" t="s">
        <v>63</v>
      </c>
      <c r="D12" s="12" t="s">
        <v>64</v>
      </c>
      <c r="E12" s="9" t="s">
        <v>54</v>
      </c>
      <c r="F12" s="10" t="s">
        <v>55</v>
      </c>
      <c r="G12" s="69" t="s">
        <v>494</v>
      </c>
      <c r="H12" s="73" t="s">
        <v>499</v>
      </c>
      <c r="I12" s="24" t="s">
        <v>27</v>
      </c>
      <c r="J12" s="24" t="s">
        <v>56</v>
      </c>
      <c r="K12" s="25" t="s">
        <v>29</v>
      </c>
      <c r="L12" s="25" t="s">
        <v>65</v>
      </c>
      <c r="M12" s="15" t="s">
        <v>31</v>
      </c>
      <c r="N12" s="16" t="str">
        <f>Tabla1[[#This Row],[ABR_02]]</f>
        <v>CT</v>
      </c>
      <c r="O12" t="s">
        <v>32</v>
      </c>
      <c r="P12" t="s">
        <v>33</v>
      </c>
      <c r="Q12" t="s">
        <v>57</v>
      </c>
      <c r="R12" s="29" t="str">
        <f>_xlfn.CONCAT(Tabla1[[#This Row],[ABR_01]],"00",Tabla1[[#This Row],[ABR_02]],Tabla1[[#This Row],[ZONA2]],,"0",Tabla1[[#This Row],[PARADA2]])</f>
        <v>AR00CT1005</v>
      </c>
      <c r="S12" s="37" t="s">
        <v>36</v>
      </c>
      <c r="T12" s="37" t="s">
        <v>36</v>
      </c>
      <c r="U12" s="10" t="s">
        <v>55</v>
      </c>
    </row>
    <row r="13" spans="2:37" x14ac:dyDescent="0.2">
      <c r="B13" s="19" t="s">
        <v>40</v>
      </c>
      <c r="C13" s="8" t="s">
        <v>66</v>
      </c>
      <c r="D13" s="17" t="s">
        <v>66</v>
      </c>
      <c r="E13" s="9" t="s">
        <v>54</v>
      </c>
      <c r="F13" s="10" t="s">
        <v>55</v>
      </c>
      <c r="G13" s="69" t="s">
        <v>494</v>
      </c>
      <c r="H13" s="73" t="s">
        <v>500</v>
      </c>
      <c r="I13" s="24" t="s">
        <v>27</v>
      </c>
      <c r="J13" s="24" t="s">
        <v>56</v>
      </c>
      <c r="K13" s="25" t="s">
        <v>29</v>
      </c>
      <c r="L13" s="25" t="s">
        <v>67</v>
      </c>
      <c r="M13" s="15" t="s">
        <v>31</v>
      </c>
      <c r="N13" s="16" t="str">
        <f>Tabla1[[#This Row],[ABR_02]]</f>
        <v>CT</v>
      </c>
      <c r="O13" t="s">
        <v>32</v>
      </c>
      <c r="P13" t="s">
        <v>33</v>
      </c>
      <c r="Q13" t="s">
        <v>57</v>
      </c>
      <c r="R13" s="29" t="str">
        <f>_xlfn.CONCAT(Tabla1[[#This Row],[ABR_01]],"00",Tabla1[[#This Row],[ABR_02]],Tabla1[[#This Row],[ZONA2]],,"0",Tabla1[[#This Row],[PARADA2]])</f>
        <v>AR00CT1006</v>
      </c>
      <c r="S13" s="37" t="s">
        <v>36</v>
      </c>
      <c r="T13" s="37" t="s">
        <v>36</v>
      </c>
      <c r="U13" s="10" t="s">
        <v>55</v>
      </c>
    </row>
    <row r="14" spans="2:37" x14ac:dyDescent="0.2">
      <c r="B14" s="19" t="s">
        <v>40</v>
      </c>
      <c r="C14" s="8" t="s">
        <v>68</v>
      </c>
      <c r="D14" s="12" t="s">
        <v>69</v>
      </c>
      <c r="E14" s="9" t="s">
        <v>54</v>
      </c>
      <c r="F14" s="10" t="s">
        <v>55</v>
      </c>
      <c r="G14" s="69" t="s">
        <v>494</v>
      </c>
      <c r="H14" s="73" t="s">
        <v>501</v>
      </c>
      <c r="I14" s="24" t="s">
        <v>27</v>
      </c>
      <c r="J14" s="24" t="s">
        <v>56</v>
      </c>
      <c r="K14" s="25" t="s">
        <v>29</v>
      </c>
      <c r="L14" s="25" t="s">
        <v>70</v>
      </c>
      <c r="M14" s="15" t="s">
        <v>31</v>
      </c>
      <c r="N14" s="16" t="str">
        <f>Tabla1[[#This Row],[ABR_02]]</f>
        <v>CT</v>
      </c>
      <c r="O14" t="s">
        <v>32</v>
      </c>
      <c r="P14" t="s">
        <v>33</v>
      </c>
      <c r="Q14" t="s">
        <v>57</v>
      </c>
      <c r="R14" s="29" t="str">
        <f>_xlfn.CONCAT(Tabla1[[#This Row],[ABR_01]],"00",Tabla1[[#This Row],[ABR_02]],Tabla1[[#This Row],[ZONA2]],,"0",Tabla1[[#This Row],[PARADA2]])</f>
        <v>AR00CT1007</v>
      </c>
      <c r="S14" s="37" t="s">
        <v>36</v>
      </c>
      <c r="T14" s="37" t="s">
        <v>36</v>
      </c>
      <c r="U14" s="10" t="s">
        <v>55</v>
      </c>
    </row>
    <row r="15" spans="2:37" x14ac:dyDescent="0.2">
      <c r="B15" s="19" t="s">
        <v>40</v>
      </c>
      <c r="C15" s="8" t="s">
        <v>71</v>
      </c>
      <c r="D15" s="12" t="s">
        <v>72</v>
      </c>
      <c r="E15" s="9" t="s">
        <v>54</v>
      </c>
      <c r="F15" s="10" t="s">
        <v>55</v>
      </c>
      <c r="G15" s="69" t="s">
        <v>494</v>
      </c>
      <c r="H15" s="73" t="s">
        <v>502</v>
      </c>
      <c r="I15" s="24" t="s">
        <v>27</v>
      </c>
      <c r="J15" s="24" t="s">
        <v>56</v>
      </c>
      <c r="K15" s="25" t="s">
        <v>29</v>
      </c>
      <c r="L15" s="25" t="s">
        <v>73</v>
      </c>
      <c r="M15" s="15" t="s">
        <v>31</v>
      </c>
      <c r="N15" s="16" t="str">
        <f>Tabla1[[#This Row],[ABR_02]]</f>
        <v>CT</v>
      </c>
      <c r="O15" t="s">
        <v>32</v>
      </c>
      <c r="P15" t="s">
        <v>33</v>
      </c>
      <c r="Q15" t="s">
        <v>57</v>
      </c>
      <c r="R15" s="29" t="str">
        <f>_xlfn.CONCAT(Tabla1[[#This Row],[ABR_01]],"00",Tabla1[[#This Row],[ABR_02]],Tabla1[[#This Row],[ZONA2]],,"0",Tabla1[[#This Row],[PARADA2]])</f>
        <v>AR00CT1008</v>
      </c>
      <c r="S15" s="37" t="s">
        <v>36</v>
      </c>
      <c r="T15" s="37" t="s">
        <v>36</v>
      </c>
      <c r="U15" s="10" t="s">
        <v>55</v>
      </c>
    </row>
    <row r="16" spans="2:37" x14ac:dyDescent="0.2">
      <c r="B16" s="19" t="s">
        <v>40</v>
      </c>
      <c r="C16" s="8" t="s">
        <v>74</v>
      </c>
      <c r="D16" s="12" t="s">
        <v>75</v>
      </c>
      <c r="E16" s="9" t="s">
        <v>76</v>
      </c>
      <c r="F16" s="10" t="s">
        <v>77</v>
      </c>
      <c r="G16" s="69" t="s">
        <v>503</v>
      </c>
      <c r="H16" s="73" t="s">
        <v>504</v>
      </c>
      <c r="I16" s="24" t="s">
        <v>27</v>
      </c>
      <c r="J16" s="24" t="s">
        <v>78</v>
      </c>
      <c r="K16" s="25" t="s">
        <v>29</v>
      </c>
      <c r="L16" s="25" t="s">
        <v>30</v>
      </c>
      <c r="M16" s="15" t="s">
        <v>31</v>
      </c>
      <c r="N16" s="16" t="str">
        <f>Tabla1[[#This Row],[ABR_02]]</f>
        <v>CH</v>
      </c>
      <c r="O16" t="s">
        <v>32</v>
      </c>
      <c r="P16" t="s">
        <v>33</v>
      </c>
      <c r="Q16" t="s">
        <v>57</v>
      </c>
      <c r="R16" s="29" t="str">
        <f>_xlfn.CONCAT(Tabla1[[#This Row],[ABR_01]],"00",Tabla1[[#This Row],[ABR_02]],Tabla1[[#This Row],[ZONA2]],,"0",Tabla1[[#This Row],[PARADA2]])</f>
        <v>AR00CH1001</v>
      </c>
      <c r="S16" s="37" t="s">
        <v>36</v>
      </c>
      <c r="T16" s="37" t="s">
        <v>36</v>
      </c>
      <c r="U16" s="10" t="s">
        <v>77</v>
      </c>
    </row>
    <row r="17" spans="2:21" x14ac:dyDescent="0.2">
      <c r="B17" s="19" t="s">
        <v>40</v>
      </c>
      <c r="C17" s="8" t="s">
        <v>79</v>
      </c>
      <c r="D17" s="12" t="s">
        <v>80</v>
      </c>
      <c r="E17" s="9" t="s">
        <v>76</v>
      </c>
      <c r="F17" s="10" t="s">
        <v>77</v>
      </c>
      <c r="G17" s="69" t="s">
        <v>503</v>
      </c>
      <c r="H17" s="73" t="s">
        <v>505</v>
      </c>
      <c r="I17" s="24" t="s">
        <v>27</v>
      </c>
      <c r="J17" s="24" t="s">
        <v>78</v>
      </c>
      <c r="K17" s="25" t="s">
        <v>29</v>
      </c>
      <c r="L17" s="25" t="s">
        <v>46</v>
      </c>
      <c r="M17" s="15" t="s">
        <v>31</v>
      </c>
      <c r="N17" s="16" t="str">
        <f>Tabla1[[#This Row],[ABR_02]]</f>
        <v>CH</v>
      </c>
      <c r="O17" t="s">
        <v>32</v>
      </c>
      <c r="P17" t="s">
        <v>33</v>
      </c>
      <c r="Q17" t="s">
        <v>57</v>
      </c>
      <c r="R17" s="29" t="str">
        <f>_xlfn.CONCAT(Tabla1[[#This Row],[ABR_01]],"00",Tabla1[[#This Row],[ABR_02]],Tabla1[[#This Row],[ZONA2]],,"0",Tabla1[[#This Row],[PARADA2]])</f>
        <v>AR00CH1002</v>
      </c>
      <c r="S17" s="37" t="s">
        <v>36</v>
      </c>
      <c r="T17" s="37" t="s">
        <v>36</v>
      </c>
      <c r="U17" s="10" t="s">
        <v>77</v>
      </c>
    </row>
    <row r="18" spans="2:21" x14ac:dyDescent="0.2">
      <c r="B18" s="19" t="s">
        <v>40</v>
      </c>
      <c r="C18" s="8" t="s">
        <v>81</v>
      </c>
      <c r="D18" s="17" t="s">
        <v>81</v>
      </c>
      <c r="E18" s="9" t="s">
        <v>76</v>
      </c>
      <c r="F18" s="10" t="s">
        <v>77</v>
      </c>
      <c r="G18" s="69" t="s">
        <v>503</v>
      </c>
      <c r="H18" s="73" t="s">
        <v>506</v>
      </c>
      <c r="I18" s="24" t="s">
        <v>27</v>
      </c>
      <c r="J18" s="24" t="s">
        <v>78</v>
      </c>
      <c r="K18" s="25" t="s">
        <v>29</v>
      </c>
      <c r="L18" s="25" t="s">
        <v>48</v>
      </c>
      <c r="M18" s="15" t="s">
        <v>31</v>
      </c>
      <c r="N18" s="16" t="str">
        <f>Tabla1[[#This Row],[ABR_02]]</f>
        <v>CH</v>
      </c>
      <c r="O18" t="s">
        <v>32</v>
      </c>
      <c r="P18" t="s">
        <v>33</v>
      </c>
      <c r="Q18" t="s">
        <v>57</v>
      </c>
      <c r="R18" s="29" t="str">
        <f>_xlfn.CONCAT(Tabla1[[#This Row],[ABR_01]],"00",Tabla1[[#This Row],[ABR_02]],Tabla1[[#This Row],[ZONA2]],,"0",Tabla1[[#This Row],[PARADA2]])</f>
        <v>AR00CH1003</v>
      </c>
      <c r="S18" s="37" t="s">
        <v>36</v>
      </c>
      <c r="T18" s="37" t="s">
        <v>36</v>
      </c>
      <c r="U18" s="10" t="s">
        <v>77</v>
      </c>
    </row>
    <row r="19" spans="2:21" x14ac:dyDescent="0.2">
      <c r="B19" s="19" t="s">
        <v>40</v>
      </c>
      <c r="C19" s="8" t="s">
        <v>82</v>
      </c>
      <c r="D19" s="12" t="s">
        <v>83</v>
      </c>
      <c r="E19" s="9" t="s">
        <v>76</v>
      </c>
      <c r="F19" s="10" t="s">
        <v>77</v>
      </c>
      <c r="G19" s="69" t="s">
        <v>503</v>
      </c>
      <c r="H19" s="73" t="s">
        <v>503</v>
      </c>
      <c r="I19" s="24" t="s">
        <v>27</v>
      </c>
      <c r="J19" s="24" t="s">
        <v>78</v>
      </c>
      <c r="K19" s="25" t="s">
        <v>29</v>
      </c>
      <c r="L19" s="25" t="s">
        <v>51</v>
      </c>
      <c r="M19" s="15" t="s">
        <v>31</v>
      </c>
      <c r="N19" s="16" t="str">
        <f>Tabla1[[#This Row],[ABR_02]]</f>
        <v>CH</v>
      </c>
      <c r="O19" t="s">
        <v>32</v>
      </c>
      <c r="P19" t="s">
        <v>33</v>
      </c>
      <c r="Q19" t="s">
        <v>57</v>
      </c>
      <c r="R19" s="29" t="str">
        <f>_xlfn.CONCAT(Tabla1[[#This Row],[ABR_01]],"00",Tabla1[[#This Row],[ABR_02]],Tabla1[[#This Row],[ZONA2]],,"0",Tabla1[[#This Row],[PARADA2]])</f>
        <v>AR00CH1004</v>
      </c>
      <c r="S19" s="37" t="s">
        <v>36</v>
      </c>
      <c r="T19" s="37" t="s">
        <v>36</v>
      </c>
      <c r="U19" s="10" t="s">
        <v>77</v>
      </c>
    </row>
    <row r="20" spans="2:21" x14ac:dyDescent="0.2">
      <c r="B20" s="19" t="s">
        <v>40</v>
      </c>
      <c r="C20" s="8" t="s">
        <v>84</v>
      </c>
      <c r="D20" s="12" t="s">
        <v>85</v>
      </c>
      <c r="E20" s="9" t="s">
        <v>76</v>
      </c>
      <c r="F20" s="10" t="s">
        <v>77</v>
      </c>
      <c r="G20" s="69" t="s">
        <v>503</v>
      </c>
      <c r="H20" s="73" t="s">
        <v>507</v>
      </c>
      <c r="I20" s="24" t="s">
        <v>27</v>
      </c>
      <c r="J20" s="24" t="s">
        <v>78</v>
      </c>
      <c r="K20" s="25" t="s">
        <v>29</v>
      </c>
      <c r="L20" s="25" t="s">
        <v>65</v>
      </c>
      <c r="M20" s="15" t="s">
        <v>31</v>
      </c>
      <c r="N20" s="16" t="str">
        <f>Tabla1[[#This Row],[ABR_02]]</f>
        <v>CH</v>
      </c>
      <c r="O20" t="s">
        <v>32</v>
      </c>
      <c r="P20" t="s">
        <v>33</v>
      </c>
      <c r="Q20" t="s">
        <v>57</v>
      </c>
      <c r="R20" s="29" t="str">
        <f>_xlfn.CONCAT(Tabla1[[#This Row],[ABR_01]],"00",Tabla1[[#This Row],[ABR_02]],Tabla1[[#This Row],[ZONA2]],,"0",Tabla1[[#This Row],[PARADA2]])</f>
        <v>AR00CH1005</v>
      </c>
      <c r="S20" s="37" t="s">
        <v>36</v>
      </c>
      <c r="T20" s="37" t="s">
        <v>36</v>
      </c>
      <c r="U20" s="10" t="s">
        <v>77</v>
      </c>
    </row>
    <row r="21" spans="2:21" x14ac:dyDescent="0.2">
      <c r="B21" s="19" t="s">
        <v>40</v>
      </c>
      <c r="C21" s="8" t="s">
        <v>86</v>
      </c>
      <c r="D21" s="17" t="s">
        <v>86</v>
      </c>
      <c r="E21" s="9" t="s">
        <v>87</v>
      </c>
      <c r="F21" s="10" t="s">
        <v>88</v>
      </c>
      <c r="G21" s="69" t="s">
        <v>508</v>
      </c>
      <c r="H21" s="73" t="s">
        <v>509</v>
      </c>
      <c r="I21" s="24" t="s">
        <v>27</v>
      </c>
      <c r="J21" s="24" t="s">
        <v>89</v>
      </c>
      <c r="K21" s="25" t="s">
        <v>29</v>
      </c>
      <c r="L21" s="25" t="s">
        <v>30</v>
      </c>
      <c r="M21" s="15" t="s">
        <v>31</v>
      </c>
      <c r="N21" s="16" t="str">
        <f>Tabla1[[#This Row],[ABR_02]]</f>
        <v>TU</v>
      </c>
      <c r="O21" t="s">
        <v>32</v>
      </c>
      <c r="P21" t="s">
        <v>33</v>
      </c>
      <c r="Q21" t="s">
        <v>57</v>
      </c>
      <c r="R21" s="29" t="str">
        <f>_xlfn.CONCAT(Tabla1[[#This Row],[ABR_01]],"00",Tabla1[[#This Row],[ABR_02]],Tabla1[[#This Row],[ZONA2]],,"0",Tabla1[[#This Row],[PARADA2]])</f>
        <v>AR00TU1001</v>
      </c>
      <c r="S21" s="37" t="s">
        <v>36</v>
      </c>
      <c r="T21" s="37" t="s">
        <v>36</v>
      </c>
      <c r="U21" s="10" t="s">
        <v>88</v>
      </c>
    </row>
    <row r="22" spans="2:21" x14ac:dyDescent="0.2">
      <c r="B22" s="19" t="s">
        <v>40</v>
      </c>
      <c r="C22" s="8" t="s">
        <v>90</v>
      </c>
      <c r="D22" s="17" t="s">
        <v>90</v>
      </c>
      <c r="E22" s="9" t="s">
        <v>87</v>
      </c>
      <c r="F22" s="10" t="s">
        <v>88</v>
      </c>
      <c r="G22" s="69" t="s">
        <v>510</v>
      </c>
      <c r="H22" s="73" t="s">
        <v>511</v>
      </c>
      <c r="I22" s="24" t="s">
        <v>27</v>
      </c>
      <c r="J22" s="24" t="s">
        <v>89</v>
      </c>
      <c r="K22" s="25" t="s">
        <v>29</v>
      </c>
      <c r="L22" s="25" t="s">
        <v>46</v>
      </c>
      <c r="M22" s="15" t="s">
        <v>31</v>
      </c>
      <c r="N22" s="16" t="str">
        <f>Tabla1[[#This Row],[ABR_02]]</f>
        <v>TU</v>
      </c>
      <c r="O22" t="s">
        <v>32</v>
      </c>
      <c r="P22" t="s">
        <v>33</v>
      </c>
      <c r="Q22" t="s">
        <v>57</v>
      </c>
      <c r="R22" s="29" t="str">
        <f>_xlfn.CONCAT(Tabla1[[#This Row],[ABR_01]],"00",Tabla1[[#This Row],[ABR_02]],Tabla1[[#This Row],[ZONA2]],,"0",Tabla1[[#This Row],[PARADA2]])</f>
        <v>AR00TU1002</v>
      </c>
      <c r="S22" s="37" t="s">
        <v>36</v>
      </c>
      <c r="T22" s="37" t="s">
        <v>36</v>
      </c>
      <c r="U22" s="10" t="s">
        <v>88</v>
      </c>
    </row>
    <row r="23" spans="2:21" x14ac:dyDescent="0.2">
      <c r="B23" s="19" t="s">
        <v>40</v>
      </c>
      <c r="C23" s="8" t="s">
        <v>91</v>
      </c>
      <c r="D23" s="17" t="s">
        <v>91</v>
      </c>
      <c r="E23" s="9" t="s">
        <v>87</v>
      </c>
      <c r="F23" s="10" t="s">
        <v>88</v>
      </c>
      <c r="G23" s="69" t="s">
        <v>510</v>
      </c>
      <c r="H23" s="73" t="s">
        <v>512</v>
      </c>
      <c r="I23" s="24" t="s">
        <v>27</v>
      </c>
      <c r="J23" s="24" t="s">
        <v>89</v>
      </c>
      <c r="K23" s="25" t="s">
        <v>29</v>
      </c>
      <c r="L23" s="25" t="s">
        <v>48</v>
      </c>
      <c r="M23" s="15" t="s">
        <v>31</v>
      </c>
      <c r="N23" s="16" t="str">
        <f>Tabla1[[#This Row],[ABR_02]]</f>
        <v>TU</v>
      </c>
      <c r="O23" t="s">
        <v>32</v>
      </c>
      <c r="P23" t="s">
        <v>33</v>
      </c>
      <c r="Q23" t="s">
        <v>57</v>
      </c>
      <c r="R23" s="29" t="str">
        <f>_xlfn.CONCAT(Tabla1[[#This Row],[ABR_01]],"00",Tabla1[[#This Row],[ABR_02]],Tabla1[[#This Row],[ZONA2]],,"0",Tabla1[[#This Row],[PARADA2]])</f>
        <v>AR00TU1003</v>
      </c>
      <c r="S23" s="37" t="s">
        <v>36</v>
      </c>
      <c r="T23" s="37" t="s">
        <v>36</v>
      </c>
      <c r="U23" s="10" t="s">
        <v>88</v>
      </c>
    </row>
    <row r="24" spans="2:21" x14ac:dyDescent="0.2">
      <c r="B24" s="19" t="s">
        <v>40</v>
      </c>
      <c r="C24" s="8" t="s">
        <v>92</v>
      </c>
      <c r="D24" s="17" t="s">
        <v>92</v>
      </c>
      <c r="E24" s="9" t="s">
        <v>87</v>
      </c>
      <c r="F24" s="10" t="s">
        <v>88</v>
      </c>
      <c r="G24" s="69" t="s">
        <v>510</v>
      </c>
      <c r="H24" s="73" t="s">
        <v>513</v>
      </c>
      <c r="I24" s="24" t="s">
        <v>27</v>
      </c>
      <c r="J24" s="24" t="s">
        <v>89</v>
      </c>
      <c r="K24" s="25" t="s">
        <v>29</v>
      </c>
      <c r="L24" s="25" t="s">
        <v>51</v>
      </c>
      <c r="M24" s="15" t="s">
        <v>31</v>
      </c>
      <c r="N24" s="16" t="str">
        <f>Tabla1[[#This Row],[ABR_02]]</f>
        <v>TU</v>
      </c>
      <c r="O24" t="s">
        <v>32</v>
      </c>
      <c r="P24" t="s">
        <v>33</v>
      </c>
      <c r="Q24" t="s">
        <v>57</v>
      </c>
      <c r="R24" s="29" t="str">
        <f>_xlfn.CONCAT(Tabla1[[#This Row],[ABR_01]],"00",Tabla1[[#This Row],[ABR_02]],Tabla1[[#This Row],[ZONA2]],,"0",Tabla1[[#This Row],[PARADA2]])</f>
        <v>AR00TU1004</v>
      </c>
      <c r="S24" s="37" t="s">
        <v>36</v>
      </c>
      <c r="T24" s="37" t="s">
        <v>36</v>
      </c>
      <c r="U24" s="10" t="s">
        <v>88</v>
      </c>
    </row>
    <row r="25" spans="2:21" x14ac:dyDescent="0.2">
      <c r="B25" s="19" t="s">
        <v>40</v>
      </c>
      <c r="C25" s="8" t="s">
        <v>93</v>
      </c>
      <c r="D25" s="12" t="s">
        <v>94</v>
      </c>
      <c r="E25" s="9" t="s">
        <v>87</v>
      </c>
      <c r="F25" s="10" t="s">
        <v>88</v>
      </c>
      <c r="G25" s="69" t="s">
        <v>510</v>
      </c>
      <c r="H25" s="73" t="s">
        <v>514</v>
      </c>
      <c r="I25" s="24" t="s">
        <v>27</v>
      </c>
      <c r="J25" s="24" t="s">
        <v>89</v>
      </c>
      <c r="K25" s="25" t="s">
        <v>29</v>
      </c>
      <c r="L25" s="25" t="s">
        <v>65</v>
      </c>
      <c r="M25" s="15" t="s">
        <v>31</v>
      </c>
      <c r="N25" s="16" t="str">
        <f>Tabla1[[#This Row],[ABR_02]]</f>
        <v>TU</v>
      </c>
      <c r="O25" t="s">
        <v>32</v>
      </c>
      <c r="P25" t="s">
        <v>33</v>
      </c>
      <c r="Q25" t="s">
        <v>57</v>
      </c>
      <c r="R25" s="29" t="str">
        <f>_xlfn.CONCAT(Tabla1[[#This Row],[ABR_01]],"00",Tabla1[[#This Row],[ABR_02]],Tabla1[[#This Row],[ZONA2]],,"0",Tabla1[[#This Row],[PARADA2]])</f>
        <v>AR00TU1005</v>
      </c>
      <c r="S25" s="37" t="s">
        <v>36</v>
      </c>
      <c r="T25" s="37" t="s">
        <v>36</v>
      </c>
      <c r="U25" s="10" t="s">
        <v>88</v>
      </c>
    </row>
    <row r="26" spans="2:21" x14ac:dyDescent="0.2">
      <c r="B26" s="19" t="s">
        <v>40</v>
      </c>
      <c r="C26" s="8" t="s">
        <v>95</v>
      </c>
      <c r="D26" s="8" t="s">
        <v>95</v>
      </c>
      <c r="E26" s="9" t="s">
        <v>87</v>
      </c>
      <c r="F26" s="10" t="s">
        <v>88</v>
      </c>
      <c r="G26" s="69" t="s">
        <v>510</v>
      </c>
      <c r="H26" s="73" t="s">
        <v>515</v>
      </c>
      <c r="I26" s="24" t="s">
        <v>27</v>
      </c>
      <c r="J26" s="24" t="s">
        <v>89</v>
      </c>
      <c r="K26" s="25" t="s">
        <v>29</v>
      </c>
      <c r="L26" s="25" t="s">
        <v>67</v>
      </c>
      <c r="M26" s="15" t="s">
        <v>31</v>
      </c>
      <c r="N26" s="16" t="str">
        <f>Tabla1[[#This Row],[ABR_02]]</f>
        <v>TU</v>
      </c>
      <c r="O26" t="s">
        <v>32</v>
      </c>
      <c r="P26" t="s">
        <v>33</v>
      </c>
      <c r="Q26" t="s">
        <v>57</v>
      </c>
      <c r="R26" s="29" t="str">
        <f>_xlfn.CONCAT(Tabla1[[#This Row],[ABR_01]],"00",Tabla1[[#This Row],[ABR_02]],Tabla1[[#This Row],[ZONA2]],,"0",Tabla1[[#This Row],[PARADA2]])</f>
        <v>AR00TU1006</v>
      </c>
      <c r="S26" s="37" t="s">
        <v>36</v>
      </c>
      <c r="T26" s="37" t="s">
        <v>36</v>
      </c>
      <c r="U26" s="10" t="s">
        <v>88</v>
      </c>
    </row>
    <row r="27" spans="2:21" x14ac:dyDescent="0.2">
      <c r="B27" s="19" t="s">
        <v>40</v>
      </c>
      <c r="C27" s="8" t="s">
        <v>96</v>
      </c>
      <c r="D27" s="12" t="s">
        <v>97</v>
      </c>
      <c r="E27" s="9" t="s">
        <v>98</v>
      </c>
      <c r="F27" s="10" t="s">
        <v>55</v>
      </c>
      <c r="G27" s="69" t="s">
        <v>516</v>
      </c>
      <c r="H27" s="73" t="s">
        <v>517</v>
      </c>
      <c r="I27" s="24" t="s">
        <v>27</v>
      </c>
      <c r="J27" s="24" t="s">
        <v>99</v>
      </c>
      <c r="K27" s="25" t="s">
        <v>29</v>
      </c>
      <c r="L27" s="25" t="s">
        <v>30</v>
      </c>
      <c r="M27" s="15" t="s">
        <v>31</v>
      </c>
      <c r="N27" s="16" t="str">
        <f>Tabla1[[#This Row],[ABR_02]]</f>
        <v>TF</v>
      </c>
      <c r="O27" t="s">
        <v>32</v>
      </c>
      <c r="P27" t="s">
        <v>33</v>
      </c>
      <c r="Q27" t="s">
        <v>57</v>
      </c>
      <c r="R27" s="29" t="str">
        <f>_xlfn.CONCAT(Tabla1[[#This Row],[ABR_01]],"00",Tabla1[[#This Row],[ABR_02]],Tabla1[[#This Row],[ZONA2]],,"0",Tabla1[[#This Row],[PARADA2]])</f>
        <v>AR00TF1001</v>
      </c>
      <c r="S27" s="37" t="s">
        <v>36</v>
      </c>
      <c r="T27" s="37" t="s">
        <v>36</v>
      </c>
      <c r="U27" s="10" t="s">
        <v>55</v>
      </c>
    </row>
    <row r="28" spans="2:21" x14ac:dyDescent="0.2">
      <c r="B28" s="19" t="s">
        <v>40</v>
      </c>
      <c r="C28" s="8" t="s">
        <v>100</v>
      </c>
      <c r="D28" s="12" t="s">
        <v>101</v>
      </c>
      <c r="E28" s="9" t="s">
        <v>98</v>
      </c>
      <c r="F28" s="10" t="s">
        <v>55</v>
      </c>
      <c r="G28" s="69" t="s">
        <v>516</v>
      </c>
      <c r="H28" s="73" t="s">
        <v>518</v>
      </c>
      <c r="I28" s="24" t="s">
        <v>27</v>
      </c>
      <c r="J28" s="24" t="s">
        <v>99</v>
      </c>
      <c r="K28" s="25" t="s">
        <v>29</v>
      </c>
      <c r="L28" s="25" t="s">
        <v>46</v>
      </c>
      <c r="M28" s="15" t="s">
        <v>31</v>
      </c>
      <c r="N28" s="16" t="str">
        <f>Tabla1[[#This Row],[ABR_02]]</f>
        <v>TF</v>
      </c>
      <c r="O28" t="s">
        <v>32</v>
      </c>
      <c r="P28" t="s">
        <v>33</v>
      </c>
      <c r="Q28" t="s">
        <v>57</v>
      </c>
      <c r="R28" s="29" t="str">
        <f>_xlfn.CONCAT(Tabla1[[#This Row],[ABR_01]],"00",Tabla1[[#This Row],[ABR_02]],Tabla1[[#This Row],[ZONA2]],,"0",Tabla1[[#This Row],[PARADA2]])</f>
        <v>AR00TF1002</v>
      </c>
      <c r="S28" s="37" t="s">
        <v>36</v>
      </c>
      <c r="T28" s="37" t="s">
        <v>36</v>
      </c>
      <c r="U28" s="10" t="s">
        <v>55</v>
      </c>
    </row>
    <row r="29" spans="2:21" x14ac:dyDescent="0.2">
      <c r="B29" s="19" t="s">
        <v>40</v>
      </c>
      <c r="C29" s="8" t="s">
        <v>102</v>
      </c>
      <c r="D29" s="17" t="s">
        <v>102</v>
      </c>
      <c r="E29" s="9" t="s">
        <v>103</v>
      </c>
      <c r="F29" s="10" t="s">
        <v>88</v>
      </c>
      <c r="G29" s="69" t="s">
        <v>519</v>
      </c>
      <c r="H29" s="73" t="s">
        <v>520</v>
      </c>
      <c r="I29" s="24" t="s">
        <v>27</v>
      </c>
      <c r="J29" s="24" t="s">
        <v>104</v>
      </c>
      <c r="K29" s="25" t="s">
        <v>29</v>
      </c>
      <c r="L29" s="25" t="s">
        <v>30</v>
      </c>
      <c r="M29" s="15" t="s">
        <v>31</v>
      </c>
      <c r="N29" s="16" t="str">
        <f>Tabla1[[#This Row],[ABR_02]]</f>
        <v>SE</v>
      </c>
      <c r="O29" t="s">
        <v>32</v>
      </c>
      <c r="P29" t="s">
        <v>33</v>
      </c>
      <c r="Q29" t="s">
        <v>57</v>
      </c>
      <c r="R29" s="29" t="str">
        <f>_xlfn.CONCAT(Tabla1[[#This Row],[ABR_01]],"00",Tabla1[[#This Row],[ABR_02]],Tabla1[[#This Row],[ZONA2]],,"0",Tabla1[[#This Row],[PARADA2]])</f>
        <v>AR00SE1001</v>
      </c>
      <c r="S29" s="37" t="s">
        <v>36</v>
      </c>
      <c r="T29" s="37" t="s">
        <v>36</v>
      </c>
      <c r="U29" s="10" t="s">
        <v>88</v>
      </c>
    </row>
    <row r="30" spans="2:21" x14ac:dyDescent="0.2">
      <c r="B30" s="19" t="s">
        <v>40</v>
      </c>
      <c r="C30" s="8" t="s">
        <v>105</v>
      </c>
      <c r="D30" s="12" t="s">
        <v>106</v>
      </c>
      <c r="E30" s="9" t="s">
        <v>103</v>
      </c>
      <c r="F30" s="10" t="s">
        <v>88</v>
      </c>
      <c r="G30" s="69" t="s">
        <v>519</v>
      </c>
      <c r="H30" s="73" t="s">
        <v>521</v>
      </c>
      <c r="I30" s="24" t="s">
        <v>27</v>
      </c>
      <c r="J30" s="24" t="s">
        <v>104</v>
      </c>
      <c r="K30" s="25" t="s">
        <v>29</v>
      </c>
      <c r="L30" s="25" t="s">
        <v>46</v>
      </c>
      <c r="M30" s="15" t="s">
        <v>31</v>
      </c>
      <c r="N30" s="16" t="str">
        <f>Tabla1[[#This Row],[ABR_02]]</f>
        <v>SE</v>
      </c>
      <c r="O30" t="s">
        <v>32</v>
      </c>
      <c r="P30" t="s">
        <v>33</v>
      </c>
      <c r="Q30" t="s">
        <v>57</v>
      </c>
      <c r="R30" s="29" t="str">
        <f>_xlfn.CONCAT(Tabla1[[#This Row],[ABR_01]],"00",Tabla1[[#This Row],[ABR_02]],Tabla1[[#This Row],[ZONA2]],,"0",Tabla1[[#This Row],[PARADA2]])</f>
        <v>AR00SE1002</v>
      </c>
      <c r="S30" s="37" t="s">
        <v>36</v>
      </c>
      <c r="T30" s="37" t="s">
        <v>36</v>
      </c>
      <c r="U30" s="10" t="s">
        <v>88</v>
      </c>
    </row>
    <row r="31" spans="2:21" x14ac:dyDescent="0.2">
      <c r="B31" s="19" t="s">
        <v>40</v>
      </c>
      <c r="C31" s="8" t="s">
        <v>107</v>
      </c>
      <c r="D31" s="17" t="s">
        <v>107</v>
      </c>
      <c r="E31" s="9" t="s">
        <v>108</v>
      </c>
      <c r="F31" s="10" t="s">
        <v>109</v>
      </c>
      <c r="G31" s="69" t="s">
        <v>508</v>
      </c>
      <c r="H31" s="73" t="s">
        <v>522</v>
      </c>
      <c r="I31" s="24" t="s">
        <v>27</v>
      </c>
      <c r="J31" s="24" t="s">
        <v>110</v>
      </c>
      <c r="K31" s="25" t="s">
        <v>29</v>
      </c>
      <c r="L31" s="25" t="s">
        <v>30</v>
      </c>
      <c r="M31" s="15" t="s">
        <v>31</v>
      </c>
      <c r="N31" s="16" t="str">
        <f>Tabla1[[#This Row],[ABR_02]]</f>
        <v>SF</v>
      </c>
      <c r="O31" t="s">
        <v>32</v>
      </c>
      <c r="P31" t="s">
        <v>33</v>
      </c>
      <c r="Q31" t="s">
        <v>32</v>
      </c>
      <c r="R31" s="29" t="str">
        <f>_xlfn.CONCAT(Tabla1[[#This Row],[ABR_01]],"00",Tabla1[[#This Row],[ABR_02]],Tabla1[[#This Row],[ZONA2]],,"0",Tabla1[[#This Row],[PARADA2]])</f>
        <v>AR00SF1001</v>
      </c>
      <c r="S31" s="37" t="s">
        <v>36</v>
      </c>
      <c r="T31" s="37" t="s">
        <v>36</v>
      </c>
      <c r="U31" s="10" t="s">
        <v>109</v>
      </c>
    </row>
    <row r="32" spans="2:21" x14ac:dyDescent="0.2">
      <c r="B32" s="19" t="s">
        <v>40</v>
      </c>
      <c r="C32" s="8" t="s">
        <v>111</v>
      </c>
      <c r="D32" s="12" t="s">
        <v>112</v>
      </c>
      <c r="E32" s="9" t="s">
        <v>108</v>
      </c>
      <c r="F32" s="10" t="s">
        <v>109</v>
      </c>
      <c r="G32" s="69" t="s">
        <v>508</v>
      </c>
      <c r="H32" s="73" t="s">
        <v>523</v>
      </c>
      <c r="I32" s="24" t="s">
        <v>27</v>
      </c>
      <c r="J32" s="24" t="s">
        <v>110</v>
      </c>
      <c r="K32" s="25" t="s">
        <v>29</v>
      </c>
      <c r="L32" s="25" t="s">
        <v>46</v>
      </c>
      <c r="M32" s="15" t="s">
        <v>31</v>
      </c>
      <c r="N32" s="16" t="str">
        <f>Tabla1[[#This Row],[ABR_02]]</f>
        <v>SF</v>
      </c>
      <c r="O32" t="s">
        <v>32</v>
      </c>
      <c r="P32" t="s">
        <v>33</v>
      </c>
      <c r="Q32" t="s">
        <v>32</v>
      </c>
      <c r="R32" s="29" t="str">
        <f>_xlfn.CONCAT(Tabla1[[#This Row],[ABR_01]],"00",Tabla1[[#This Row],[ABR_02]],Tabla1[[#This Row],[ZONA2]],,"0",Tabla1[[#This Row],[PARADA2]])</f>
        <v>AR00SF1002</v>
      </c>
      <c r="S32" s="37" t="s">
        <v>36</v>
      </c>
      <c r="T32" s="37" t="s">
        <v>36</v>
      </c>
      <c r="U32" s="10" t="s">
        <v>109</v>
      </c>
    </row>
    <row r="33" spans="2:21" x14ac:dyDescent="0.2">
      <c r="B33" s="19" t="s">
        <v>40</v>
      </c>
      <c r="C33" s="8" t="s">
        <v>113</v>
      </c>
      <c r="D33" s="12" t="s">
        <v>114</v>
      </c>
      <c r="E33" s="9" t="s">
        <v>108</v>
      </c>
      <c r="F33" s="10" t="s">
        <v>109</v>
      </c>
      <c r="G33" s="69" t="s">
        <v>508</v>
      </c>
      <c r="H33" s="73" t="s">
        <v>524</v>
      </c>
      <c r="I33" s="24" t="s">
        <v>27</v>
      </c>
      <c r="J33" s="24" t="s">
        <v>110</v>
      </c>
      <c r="K33" s="25" t="s">
        <v>29</v>
      </c>
      <c r="L33" s="25" t="s">
        <v>48</v>
      </c>
      <c r="M33" s="15" t="s">
        <v>31</v>
      </c>
      <c r="N33" s="16" t="str">
        <f>Tabla1[[#This Row],[ABR_02]]</f>
        <v>SF</v>
      </c>
      <c r="O33" t="s">
        <v>32</v>
      </c>
      <c r="P33" t="s">
        <v>33</v>
      </c>
      <c r="Q33" t="s">
        <v>32</v>
      </c>
      <c r="R33" s="29" t="str">
        <f>_xlfn.CONCAT(Tabla1[[#This Row],[ABR_01]],"00",Tabla1[[#This Row],[ABR_02]],Tabla1[[#This Row],[ZONA2]],,"0",Tabla1[[#This Row],[PARADA2]])</f>
        <v>AR00SF1003</v>
      </c>
      <c r="S33" s="37" t="s">
        <v>36</v>
      </c>
      <c r="T33" s="37" t="s">
        <v>36</v>
      </c>
      <c r="U33" s="10" t="s">
        <v>109</v>
      </c>
    </row>
    <row r="34" spans="2:21" x14ac:dyDescent="0.2">
      <c r="B34" s="19" t="s">
        <v>40</v>
      </c>
      <c r="C34" s="8" t="s">
        <v>115</v>
      </c>
      <c r="D34" s="12" t="s">
        <v>116</v>
      </c>
      <c r="E34" s="9" t="s">
        <v>108</v>
      </c>
      <c r="F34" s="10" t="s">
        <v>109</v>
      </c>
      <c r="G34" s="69" t="s">
        <v>508</v>
      </c>
      <c r="H34" s="73" t="s">
        <v>525</v>
      </c>
      <c r="I34" s="24" t="s">
        <v>27</v>
      </c>
      <c r="J34" s="24" t="s">
        <v>110</v>
      </c>
      <c r="K34" s="25" t="s">
        <v>29</v>
      </c>
      <c r="L34" s="25" t="s">
        <v>51</v>
      </c>
      <c r="M34" s="15" t="s">
        <v>31</v>
      </c>
      <c r="N34" s="16" t="str">
        <f>Tabla1[[#This Row],[ABR_02]]</f>
        <v>SF</v>
      </c>
      <c r="O34" t="s">
        <v>32</v>
      </c>
      <c r="P34" t="s">
        <v>33</v>
      </c>
      <c r="Q34" t="s">
        <v>32</v>
      </c>
      <c r="R34" s="29" t="str">
        <f>_xlfn.CONCAT(Tabla1[[#This Row],[ABR_01]],"00",Tabla1[[#This Row],[ABR_02]],Tabla1[[#This Row],[ZONA2]],,"0",Tabla1[[#This Row],[PARADA2]])</f>
        <v>AR00SF1004</v>
      </c>
      <c r="S34" s="37" t="s">
        <v>36</v>
      </c>
      <c r="T34" s="37" t="s">
        <v>36</v>
      </c>
      <c r="U34" s="10" t="s">
        <v>109</v>
      </c>
    </row>
    <row r="35" spans="2:21" x14ac:dyDescent="0.2">
      <c r="B35" s="19" t="s">
        <v>40</v>
      </c>
      <c r="C35" s="8" t="s">
        <v>117</v>
      </c>
      <c r="D35" s="12" t="s">
        <v>118</v>
      </c>
      <c r="E35" s="9" t="s">
        <v>108</v>
      </c>
      <c r="F35" s="10" t="s">
        <v>109</v>
      </c>
      <c r="G35" s="69" t="s">
        <v>508</v>
      </c>
      <c r="H35" s="73" t="s">
        <v>526</v>
      </c>
      <c r="I35" s="24" t="s">
        <v>27</v>
      </c>
      <c r="J35" s="24" t="s">
        <v>110</v>
      </c>
      <c r="K35" s="25" t="s">
        <v>29</v>
      </c>
      <c r="L35" s="25" t="s">
        <v>65</v>
      </c>
      <c r="M35" s="15" t="s">
        <v>31</v>
      </c>
      <c r="N35" s="16" t="str">
        <f>Tabla1[[#This Row],[ABR_02]]</f>
        <v>SF</v>
      </c>
      <c r="O35" t="s">
        <v>32</v>
      </c>
      <c r="P35" t="s">
        <v>33</v>
      </c>
      <c r="Q35" t="s">
        <v>32</v>
      </c>
      <c r="R35" s="29" t="str">
        <f>_xlfn.CONCAT(Tabla1[[#This Row],[ABR_01]],"00",Tabla1[[#This Row],[ABR_02]],Tabla1[[#This Row],[ZONA2]],,"0",Tabla1[[#This Row],[PARADA2]])</f>
        <v>AR00SF1005</v>
      </c>
      <c r="S35" s="37" t="s">
        <v>36</v>
      </c>
      <c r="T35" s="37" t="s">
        <v>36</v>
      </c>
      <c r="U35" s="10" t="s">
        <v>109</v>
      </c>
    </row>
    <row r="36" spans="2:21" x14ac:dyDescent="0.2">
      <c r="B36" s="19" t="s">
        <v>40</v>
      </c>
      <c r="C36" s="8" t="s">
        <v>119</v>
      </c>
      <c r="D36" s="12" t="s">
        <v>120</v>
      </c>
      <c r="E36" s="9" t="s">
        <v>108</v>
      </c>
      <c r="F36" s="10" t="s">
        <v>109</v>
      </c>
      <c r="G36" s="69" t="s">
        <v>508</v>
      </c>
      <c r="H36" s="73" t="s">
        <v>527</v>
      </c>
      <c r="I36" s="24" t="s">
        <v>27</v>
      </c>
      <c r="J36" s="24" t="s">
        <v>110</v>
      </c>
      <c r="K36" s="25" t="s">
        <v>29</v>
      </c>
      <c r="L36" s="25" t="s">
        <v>67</v>
      </c>
      <c r="M36" s="15" t="s">
        <v>31</v>
      </c>
      <c r="N36" s="16" t="str">
        <f>Tabla1[[#This Row],[ABR_02]]</f>
        <v>SF</v>
      </c>
      <c r="O36" t="s">
        <v>32</v>
      </c>
      <c r="P36" t="s">
        <v>33</v>
      </c>
      <c r="Q36" t="s">
        <v>32</v>
      </c>
      <c r="R36" s="29" t="str">
        <f>_xlfn.CONCAT(Tabla1[[#This Row],[ABR_01]],"00",Tabla1[[#This Row],[ABR_02]],Tabla1[[#This Row],[ZONA2]],,"0",Tabla1[[#This Row],[PARADA2]])</f>
        <v>AR00SF1006</v>
      </c>
      <c r="S36" s="37" t="s">
        <v>36</v>
      </c>
      <c r="T36" s="37" t="s">
        <v>36</v>
      </c>
      <c r="U36" s="10" t="s">
        <v>109</v>
      </c>
    </row>
    <row r="37" spans="2:21" x14ac:dyDescent="0.2">
      <c r="B37" s="19" t="s">
        <v>40</v>
      </c>
      <c r="C37" s="8" t="s">
        <v>121</v>
      </c>
      <c r="D37" s="17" t="s">
        <v>121</v>
      </c>
      <c r="E37" s="9" t="s">
        <v>108</v>
      </c>
      <c r="F37" s="10" t="s">
        <v>109</v>
      </c>
      <c r="G37" s="69" t="s">
        <v>508</v>
      </c>
      <c r="H37" s="73" t="s">
        <v>528</v>
      </c>
      <c r="I37" s="24" t="s">
        <v>27</v>
      </c>
      <c r="J37" s="24" t="s">
        <v>110</v>
      </c>
      <c r="K37" s="25" t="s">
        <v>29</v>
      </c>
      <c r="L37" s="25" t="s">
        <v>70</v>
      </c>
      <c r="M37" s="15" t="s">
        <v>31</v>
      </c>
      <c r="N37" s="16" t="str">
        <f>Tabla1[[#This Row],[ABR_02]]</f>
        <v>SF</v>
      </c>
      <c r="O37" t="s">
        <v>32</v>
      </c>
      <c r="P37" t="s">
        <v>33</v>
      </c>
      <c r="Q37" t="s">
        <v>32</v>
      </c>
      <c r="R37" s="29" t="str">
        <f>_xlfn.CONCAT(Tabla1[[#This Row],[ABR_01]],"00",Tabla1[[#This Row],[ABR_02]],Tabla1[[#This Row],[ZONA2]],,"0",Tabla1[[#This Row],[PARADA2]])</f>
        <v>AR00SF1007</v>
      </c>
      <c r="S37" s="37" t="s">
        <v>36</v>
      </c>
      <c r="T37" s="37" t="s">
        <v>36</v>
      </c>
      <c r="U37" s="10" t="s">
        <v>109</v>
      </c>
    </row>
    <row r="38" spans="2:21" x14ac:dyDescent="0.2">
      <c r="B38" s="19" t="s">
        <v>40</v>
      </c>
      <c r="C38" s="8" t="s">
        <v>122</v>
      </c>
      <c r="D38" s="17" t="s">
        <v>122</v>
      </c>
      <c r="E38" s="9" t="s">
        <v>108</v>
      </c>
      <c r="F38" s="10" t="s">
        <v>109</v>
      </c>
      <c r="G38" s="69" t="s">
        <v>508</v>
      </c>
      <c r="H38" s="73" t="s">
        <v>529</v>
      </c>
      <c r="I38" s="24" t="s">
        <v>27</v>
      </c>
      <c r="J38" s="24" t="s">
        <v>110</v>
      </c>
      <c r="K38" s="25" t="s">
        <v>29</v>
      </c>
      <c r="L38" s="25" t="s">
        <v>73</v>
      </c>
      <c r="M38" s="15" t="s">
        <v>31</v>
      </c>
      <c r="N38" s="16" t="str">
        <f>Tabla1[[#This Row],[ABR_02]]</f>
        <v>SF</v>
      </c>
      <c r="O38" t="s">
        <v>32</v>
      </c>
      <c r="P38" t="s">
        <v>33</v>
      </c>
      <c r="Q38" t="s">
        <v>32</v>
      </c>
      <c r="R38" s="29" t="str">
        <f>_xlfn.CONCAT(Tabla1[[#This Row],[ABR_01]],"00",Tabla1[[#This Row],[ABR_02]],Tabla1[[#This Row],[ZONA2]],,"0",Tabla1[[#This Row],[PARADA2]])</f>
        <v>AR00SF1008</v>
      </c>
      <c r="S38" s="37" t="s">
        <v>36</v>
      </c>
      <c r="T38" s="37" t="s">
        <v>36</v>
      </c>
      <c r="U38" s="10" t="s">
        <v>109</v>
      </c>
    </row>
    <row r="39" spans="2:21" x14ac:dyDescent="0.2">
      <c r="B39" s="19" t="s">
        <v>40</v>
      </c>
      <c r="C39" s="8" t="s">
        <v>123</v>
      </c>
      <c r="D39" s="12" t="s">
        <v>124</v>
      </c>
      <c r="E39" s="9" t="s">
        <v>108</v>
      </c>
      <c r="F39" s="10" t="s">
        <v>109</v>
      </c>
      <c r="G39" s="69" t="s">
        <v>508</v>
      </c>
      <c r="H39" s="73" t="s">
        <v>530</v>
      </c>
      <c r="I39" s="24" t="s">
        <v>27</v>
      </c>
      <c r="J39" s="24" t="s">
        <v>110</v>
      </c>
      <c r="K39" s="25" t="s">
        <v>29</v>
      </c>
      <c r="L39" s="25" t="s">
        <v>125</v>
      </c>
      <c r="M39" s="15" t="s">
        <v>31</v>
      </c>
      <c r="N39" s="16" t="str">
        <f>Tabla1[[#This Row],[ABR_02]]</f>
        <v>SF</v>
      </c>
      <c r="O39" t="s">
        <v>32</v>
      </c>
      <c r="P39" t="s">
        <v>33</v>
      </c>
      <c r="Q39" t="s">
        <v>32</v>
      </c>
      <c r="R39" s="29" t="str">
        <f>_xlfn.CONCAT(Tabla1[[#This Row],[ABR_01]],"00",Tabla1[[#This Row],[ABR_02]],Tabla1[[#This Row],[ZONA2]],,"0",Tabla1[[#This Row],[PARADA2]])</f>
        <v>AR00SF1009</v>
      </c>
      <c r="S39" s="37" t="s">
        <v>36</v>
      </c>
      <c r="T39" s="37" t="s">
        <v>36</v>
      </c>
      <c r="U39" s="10" t="s">
        <v>109</v>
      </c>
    </row>
    <row r="40" spans="2:21" x14ac:dyDescent="0.2">
      <c r="B40" s="19" t="s">
        <v>40</v>
      </c>
      <c r="C40" s="8" t="s">
        <v>126</v>
      </c>
      <c r="D40" s="12" t="s">
        <v>127</v>
      </c>
      <c r="E40" s="9" t="s">
        <v>108</v>
      </c>
      <c r="F40" s="10" t="s">
        <v>109</v>
      </c>
      <c r="G40" s="69" t="s">
        <v>508</v>
      </c>
      <c r="H40" s="73" t="s">
        <v>531</v>
      </c>
      <c r="I40" s="24" t="s">
        <v>27</v>
      </c>
      <c r="J40" s="24" t="s">
        <v>110</v>
      </c>
      <c r="K40" s="25" t="s">
        <v>29</v>
      </c>
      <c r="L40" s="25" t="s">
        <v>128</v>
      </c>
      <c r="M40" s="15" t="s">
        <v>31</v>
      </c>
      <c r="N40" s="16" t="str">
        <f>Tabla1[[#This Row],[ABR_02]]</f>
        <v>SF</v>
      </c>
      <c r="O40" t="s">
        <v>32</v>
      </c>
      <c r="P40" t="s">
        <v>33</v>
      </c>
      <c r="Q40" t="s">
        <v>32</v>
      </c>
      <c r="R40" s="29" t="str">
        <f>_xlfn.CONCAT(Tabla1[[#This Row],[ABR_01]],"00",Tabla1[[#This Row],[ABR_02]],Tabla1[[#This Row],[ZONA2]],,"0",Tabla1[[#This Row],[PARADA2]])</f>
        <v>AR00SF1010</v>
      </c>
      <c r="S40" s="37" t="s">
        <v>36</v>
      </c>
      <c r="T40" s="37" t="s">
        <v>36</v>
      </c>
      <c r="U40" s="10" t="s">
        <v>109</v>
      </c>
    </row>
    <row r="41" spans="2:21" x14ac:dyDescent="0.2">
      <c r="B41" s="19" t="s">
        <v>40</v>
      </c>
      <c r="C41" s="8" t="s">
        <v>129</v>
      </c>
      <c r="D41" s="17" t="s">
        <v>129</v>
      </c>
      <c r="E41" s="9" t="s">
        <v>108</v>
      </c>
      <c r="F41" s="10" t="s">
        <v>109</v>
      </c>
      <c r="G41" s="69" t="s">
        <v>508</v>
      </c>
      <c r="H41" s="73" t="s">
        <v>532</v>
      </c>
      <c r="I41" s="24" t="s">
        <v>27</v>
      </c>
      <c r="J41" s="24" t="s">
        <v>110</v>
      </c>
      <c r="K41" s="25" t="s">
        <v>29</v>
      </c>
      <c r="L41" s="25" t="s">
        <v>130</v>
      </c>
      <c r="M41" s="15" t="s">
        <v>31</v>
      </c>
      <c r="N41" s="16" t="str">
        <f>Tabla1[[#This Row],[ABR_02]]</f>
        <v>SF</v>
      </c>
      <c r="O41" t="s">
        <v>32</v>
      </c>
      <c r="P41" t="s">
        <v>33</v>
      </c>
      <c r="Q41" t="s">
        <v>32</v>
      </c>
      <c r="R41" s="29" t="str">
        <f>_xlfn.CONCAT(Tabla1[[#This Row],[ABR_01]],"00",Tabla1[[#This Row],[ABR_02]],Tabla1[[#This Row],[ZONA2]],,"0",Tabla1[[#This Row],[PARADA2]])</f>
        <v>AR00SF1011</v>
      </c>
      <c r="S41" s="37" t="s">
        <v>36</v>
      </c>
      <c r="T41" s="37" t="s">
        <v>36</v>
      </c>
      <c r="U41" s="10" t="s">
        <v>109</v>
      </c>
    </row>
    <row r="42" spans="2:21" x14ac:dyDescent="0.2">
      <c r="B42" s="19" t="s">
        <v>40</v>
      </c>
      <c r="C42" s="8" t="s">
        <v>131</v>
      </c>
      <c r="D42" s="17" t="s">
        <v>131</v>
      </c>
      <c r="E42" s="9" t="s">
        <v>108</v>
      </c>
      <c r="F42" s="10" t="s">
        <v>109</v>
      </c>
      <c r="G42" s="69" t="s">
        <v>508</v>
      </c>
      <c r="H42" s="73" t="s">
        <v>533</v>
      </c>
      <c r="I42" s="24" t="s">
        <v>27</v>
      </c>
      <c r="J42" s="24" t="s">
        <v>110</v>
      </c>
      <c r="K42" s="25" t="s">
        <v>29</v>
      </c>
      <c r="L42" s="25" t="s">
        <v>132</v>
      </c>
      <c r="M42" s="15" t="s">
        <v>31</v>
      </c>
      <c r="N42" s="16" t="str">
        <f>Tabla1[[#This Row],[ABR_02]]</f>
        <v>SF</v>
      </c>
      <c r="O42" t="s">
        <v>32</v>
      </c>
      <c r="P42" t="s">
        <v>33</v>
      </c>
      <c r="Q42" t="s">
        <v>32</v>
      </c>
      <c r="R42" s="29" t="str">
        <f>_xlfn.CONCAT(Tabla1[[#This Row],[ABR_01]],"00",Tabla1[[#This Row],[ABR_02]],Tabla1[[#This Row],[ZONA2]],,"0",Tabla1[[#This Row],[PARADA2]])</f>
        <v>AR00SF1012</v>
      </c>
      <c r="S42" s="37" t="s">
        <v>36</v>
      </c>
      <c r="T42" s="37" t="s">
        <v>36</v>
      </c>
      <c r="U42" s="10" t="s">
        <v>109</v>
      </c>
    </row>
    <row r="43" spans="2:21" x14ac:dyDescent="0.2">
      <c r="B43" s="19" t="s">
        <v>40</v>
      </c>
      <c r="C43" s="8" t="s">
        <v>133</v>
      </c>
      <c r="D43" s="17" t="s">
        <v>133</v>
      </c>
      <c r="E43" s="9" t="s">
        <v>108</v>
      </c>
      <c r="F43" s="10" t="s">
        <v>109</v>
      </c>
      <c r="G43" s="69" t="s">
        <v>508</v>
      </c>
      <c r="H43" s="73" t="s">
        <v>534</v>
      </c>
      <c r="I43" s="24" t="s">
        <v>27</v>
      </c>
      <c r="J43" s="24" t="s">
        <v>110</v>
      </c>
      <c r="K43" s="25" t="s">
        <v>29</v>
      </c>
      <c r="L43" s="25" t="s">
        <v>134</v>
      </c>
      <c r="M43" s="15" t="s">
        <v>31</v>
      </c>
      <c r="N43" s="16" t="str">
        <f>Tabla1[[#This Row],[ABR_02]]</f>
        <v>SF</v>
      </c>
      <c r="O43" t="s">
        <v>32</v>
      </c>
      <c r="P43" t="s">
        <v>33</v>
      </c>
      <c r="Q43" t="s">
        <v>32</v>
      </c>
      <c r="R43" s="29" t="str">
        <f>_xlfn.CONCAT(Tabla1[[#This Row],[ABR_01]],"00",Tabla1[[#This Row],[ABR_02]],Tabla1[[#This Row],[ZONA2]],,"0",Tabla1[[#This Row],[PARADA2]])</f>
        <v>AR00SF1013</v>
      </c>
      <c r="S43" s="37" t="s">
        <v>36</v>
      </c>
      <c r="T43" s="37" t="s">
        <v>36</v>
      </c>
      <c r="U43" s="10" t="s">
        <v>109</v>
      </c>
    </row>
    <row r="44" spans="2:21" x14ac:dyDescent="0.2">
      <c r="B44" s="19" t="s">
        <v>40</v>
      </c>
      <c r="C44" s="8" t="s">
        <v>135</v>
      </c>
      <c r="D44" s="12" t="s">
        <v>136</v>
      </c>
      <c r="E44" s="9" t="s">
        <v>108</v>
      </c>
      <c r="F44" s="10" t="s">
        <v>109</v>
      </c>
      <c r="G44" s="69" t="s">
        <v>508</v>
      </c>
      <c r="H44" s="73" t="s">
        <v>535</v>
      </c>
      <c r="I44" s="24" t="s">
        <v>27</v>
      </c>
      <c r="J44" s="24" t="s">
        <v>110</v>
      </c>
      <c r="K44" s="25" t="s">
        <v>29</v>
      </c>
      <c r="L44" s="25" t="s">
        <v>137</v>
      </c>
      <c r="M44" s="15" t="s">
        <v>31</v>
      </c>
      <c r="N44" s="16" t="str">
        <f>Tabla1[[#This Row],[ABR_02]]</f>
        <v>SF</v>
      </c>
      <c r="O44" t="s">
        <v>32</v>
      </c>
      <c r="P44" t="s">
        <v>33</v>
      </c>
      <c r="Q44" t="s">
        <v>32</v>
      </c>
      <c r="R44" s="29" t="str">
        <f>_xlfn.CONCAT(Tabla1[[#This Row],[ABR_01]],"00",Tabla1[[#This Row],[ABR_02]],Tabla1[[#This Row],[ZONA2]],,"0",Tabla1[[#This Row],[PARADA2]])</f>
        <v>AR00SF1014</v>
      </c>
      <c r="S44" s="37" t="s">
        <v>36</v>
      </c>
      <c r="T44" s="37" t="s">
        <v>36</v>
      </c>
      <c r="U44" s="10" t="s">
        <v>109</v>
      </c>
    </row>
    <row r="45" spans="2:21" x14ac:dyDescent="0.2">
      <c r="B45" s="19" t="s">
        <v>40</v>
      </c>
      <c r="C45" s="8" t="s">
        <v>138</v>
      </c>
      <c r="D45" s="12" t="s">
        <v>139</v>
      </c>
      <c r="E45" s="9" t="s">
        <v>108</v>
      </c>
      <c r="F45" s="10" t="s">
        <v>109</v>
      </c>
      <c r="G45" s="69" t="s">
        <v>508</v>
      </c>
      <c r="H45" s="73" t="s">
        <v>536</v>
      </c>
      <c r="I45" s="24" t="s">
        <v>27</v>
      </c>
      <c r="J45" s="24" t="s">
        <v>110</v>
      </c>
      <c r="K45" s="25" t="s">
        <v>29</v>
      </c>
      <c r="L45" s="25" t="s">
        <v>140</v>
      </c>
      <c r="M45" s="15" t="s">
        <v>31</v>
      </c>
      <c r="N45" s="16" t="str">
        <f>Tabla1[[#This Row],[ABR_02]]</f>
        <v>SF</v>
      </c>
      <c r="O45" t="s">
        <v>32</v>
      </c>
      <c r="P45" t="s">
        <v>33</v>
      </c>
      <c r="Q45" t="s">
        <v>32</v>
      </c>
      <c r="R45" s="29" t="str">
        <f>_xlfn.CONCAT(Tabla1[[#This Row],[ABR_01]],"00",Tabla1[[#This Row],[ABR_02]],Tabla1[[#This Row],[ZONA2]],,"0",Tabla1[[#This Row],[PARADA2]])</f>
        <v>AR00SF1015</v>
      </c>
      <c r="S45" s="37" t="s">
        <v>36</v>
      </c>
      <c r="T45" s="37" t="s">
        <v>36</v>
      </c>
      <c r="U45" s="10" t="s">
        <v>109</v>
      </c>
    </row>
    <row r="46" spans="2:21" x14ac:dyDescent="0.2">
      <c r="B46" s="19" t="s">
        <v>40</v>
      </c>
      <c r="C46" s="8" t="s">
        <v>141</v>
      </c>
      <c r="D46" s="12" t="s">
        <v>142</v>
      </c>
      <c r="E46" s="9" t="s">
        <v>108</v>
      </c>
      <c r="F46" s="10" t="s">
        <v>109</v>
      </c>
      <c r="G46" s="69" t="s">
        <v>508</v>
      </c>
      <c r="H46" s="73" t="s">
        <v>537</v>
      </c>
      <c r="I46" s="24" t="s">
        <v>27</v>
      </c>
      <c r="J46" s="24" t="s">
        <v>110</v>
      </c>
      <c r="K46" s="25" t="s">
        <v>29</v>
      </c>
      <c r="L46" s="25" t="s">
        <v>143</v>
      </c>
      <c r="M46" s="15" t="s">
        <v>31</v>
      </c>
      <c r="N46" s="16" t="str">
        <f>Tabla1[[#This Row],[ABR_02]]</f>
        <v>SF</v>
      </c>
      <c r="O46" t="s">
        <v>32</v>
      </c>
      <c r="P46" t="s">
        <v>33</v>
      </c>
      <c r="Q46" t="s">
        <v>32</v>
      </c>
      <c r="R46" s="29" t="str">
        <f>_xlfn.CONCAT(Tabla1[[#This Row],[ABR_01]],"00",Tabla1[[#This Row],[ABR_02]],Tabla1[[#This Row],[ZONA2]],,"0",Tabla1[[#This Row],[PARADA2]])</f>
        <v>AR00SF1016</v>
      </c>
      <c r="S46" s="37" t="s">
        <v>36</v>
      </c>
      <c r="T46" s="37" t="s">
        <v>36</v>
      </c>
      <c r="U46" s="10" t="s">
        <v>109</v>
      </c>
    </row>
    <row r="47" spans="2:21" x14ac:dyDescent="0.2">
      <c r="B47" s="19" t="s">
        <v>40</v>
      </c>
      <c r="C47" s="8" t="s">
        <v>144</v>
      </c>
      <c r="D47" s="12" t="s">
        <v>145</v>
      </c>
      <c r="E47" s="9" t="s">
        <v>108</v>
      </c>
      <c r="F47" s="10" t="s">
        <v>109</v>
      </c>
      <c r="G47" s="69" t="s">
        <v>508</v>
      </c>
      <c r="H47" s="73" t="s">
        <v>538</v>
      </c>
      <c r="I47" s="24" t="s">
        <v>27</v>
      </c>
      <c r="J47" s="24" t="s">
        <v>110</v>
      </c>
      <c r="K47" s="25" t="s">
        <v>29</v>
      </c>
      <c r="L47" s="25" t="s">
        <v>146</v>
      </c>
      <c r="M47" s="15" t="s">
        <v>31</v>
      </c>
      <c r="N47" s="16" t="str">
        <f>Tabla1[[#This Row],[ABR_02]]</f>
        <v>SF</v>
      </c>
      <c r="O47" t="s">
        <v>32</v>
      </c>
      <c r="P47" t="s">
        <v>33</v>
      </c>
      <c r="Q47" t="s">
        <v>32</v>
      </c>
      <c r="R47" s="29" t="str">
        <f>_xlfn.CONCAT(Tabla1[[#This Row],[ABR_01]],"00",Tabla1[[#This Row],[ABR_02]],Tabla1[[#This Row],[ZONA2]],,"0",Tabla1[[#This Row],[PARADA2]])</f>
        <v>AR00SF1017</v>
      </c>
      <c r="S47" s="37" t="s">
        <v>36</v>
      </c>
      <c r="T47" s="37" t="s">
        <v>36</v>
      </c>
      <c r="U47" s="10" t="s">
        <v>109</v>
      </c>
    </row>
    <row r="48" spans="2:21" x14ac:dyDescent="0.2">
      <c r="B48" s="19" t="s">
        <v>40</v>
      </c>
      <c r="C48" s="8" t="s">
        <v>147</v>
      </c>
      <c r="D48" s="17" t="s">
        <v>147</v>
      </c>
      <c r="E48" s="9" t="s">
        <v>108</v>
      </c>
      <c r="F48" s="10" t="s">
        <v>109</v>
      </c>
      <c r="G48" s="69" t="s">
        <v>508</v>
      </c>
      <c r="H48" s="73" t="s">
        <v>539</v>
      </c>
      <c r="I48" s="24" t="s">
        <v>27</v>
      </c>
      <c r="J48" s="24" t="s">
        <v>110</v>
      </c>
      <c r="K48" s="25" t="s">
        <v>29</v>
      </c>
      <c r="L48" s="25" t="s">
        <v>148</v>
      </c>
      <c r="M48" s="15" t="s">
        <v>31</v>
      </c>
      <c r="N48" s="16" t="str">
        <f>Tabla1[[#This Row],[ABR_02]]</f>
        <v>SF</v>
      </c>
      <c r="O48" t="s">
        <v>32</v>
      </c>
      <c r="P48" t="s">
        <v>33</v>
      </c>
      <c r="Q48" t="s">
        <v>32</v>
      </c>
      <c r="R48" s="29" t="str">
        <f>_xlfn.CONCAT(Tabla1[[#This Row],[ABR_01]],"00",Tabla1[[#This Row],[ABR_02]],Tabla1[[#This Row],[ZONA2]],,"0",Tabla1[[#This Row],[PARADA2]])</f>
        <v>AR00SF1018</v>
      </c>
      <c r="S48" s="37" t="s">
        <v>36</v>
      </c>
      <c r="T48" s="37" t="s">
        <v>36</v>
      </c>
      <c r="U48" s="10" t="s">
        <v>109</v>
      </c>
    </row>
    <row r="49" spans="2:21" x14ac:dyDescent="0.2">
      <c r="B49" s="19" t="s">
        <v>40</v>
      </c>
      <c r="C49" s="8" t="s">
        <v>149</v>
      </c>
      <c r="D49" s="12" t="s">
        <v>150</v>
      </c>
      <c r="E49" s="9" t="s">
        <v>108</v>
      </c>
      <c r="F49" s="10" t="s">
        <v>109</v>
      </c>
      <c r="G49" s="69" t="s">
        <v>508</v>
      </c>
      <c r="H49" s="73" t="s">
        <v>540</v>
      </c>
      <c r="I49" s="24" t="s">
        <v>27</v>
      </c>
      <c r="J49" s="24" t="s">
        <v>110</v>
      </c>
      <c r="K49" s="25" t="s">
        <v>29</v>
      </c>
      <c r="L49" s="25" t="s">
        <v>151</v>
      </c>
      <c r="M49" s="15" t="s">
        <v>31</v>
      </c>
      <c r="N49" s="16" t="str">
        <f>Tabla1[[#This Row],[ABR_02]]</f>
        <v>SF</v>
      </c>
      <c r="O49" t="s">
        <v>32</v>
      </c>
      <c r="P49" t="s">
        <v>33</v>
      </c>
      <c r="Q49" t="s">
        <v>32</v>
      </c>
      <c r="R49" s="29" t="str">
        <f>_xlfn.CONCAT(Tabla1[[#This Row],[ABR_01]],"00",Tabla1[[#This Row],[ABR_02]],Tabla1[[#This Row],[ZONA2]],,"0",Tabla1[[#This Row],[PARADA2]])</f>
        <v>AR00SF1019</v>
      </c>
      <c r="S49" s="37" t="s">
        <v>36</v>
      </c>
      <c r="T49" s="37" t="s">
        <v>36</v>
      </c>
      <c r="U49" s="10" t="s">
        <v>109</v>
      </c>
    </row>
    <row r="50" spans="2:21" x14ac:dyDescent="0.2">
      <c r="B50" s="19" t="s">
        <v>40</v>
      </c>
      <c r="C50" s="8" t="s">
        <v>152</v>
      </c>
      <c r="D50" s="17" t="s">
        <v>152</v>
      </c>
      <c r="E50" s="9" t="s">
        <v>108</v>
      </c>
      <c r="F50" s="10" t="s">
        <v>109</v>
      </c>
      <c r="G50" s="69" t="s">
        <v>508</v>
      </c>
      <c r="H50" s="73" t="s">
        <v>541</v>
      </c>
      <c r="I50" s="24" t="s">
        <v>27</v>
      </c>
      <c r="J50" s="24" t="s">
        <v>110</v>
      </c>
      <c r="K50" s="25" t="s">
        <v>29</v>
      </c>
      <c r="L50" s="25" t="s">
        <v>153</v>
      </c>
      <c r="M50" s="15" t="s">
        <v>31</v>
      </c>
      <c r="N50" s="16" t="str">
        <f>Tabla1[[#This Row],[ABR_02]]</f>
        <v>SF</v>
      </c>
      <c r="O50" t="s">
        <v>32</v>
      </c>
      <c r="P50" t="s">
        <v>33</v>
      </c>
      <c r="Q50" t="s">
        <v>32</v>
      </c>
      <c r="R50" s="29" t="str">
        <f>_xlfn.CONCAT(Tabla1[[#This Row],[ABR_01]],"00",Tabla1[[#This Row],[ABR_02]],Tabla1[[#This Row],[ZONA2]],,"0",Tabla1[[#This Row],[PARADA2]])</f>
        <v>AR00SF1020</v>
      </c>
      <c r="S50" s="37" t="s">
        <v>36</v>
      </c>
      <c r="T50" s="37" t="s">
        <v>36</v>
      </c>
      <c r="U50" s="10" t="s">
        <v>109</v>
      </c>
    </row>
    <row r="51" spans="2:21" x14ac:dyDescent="0.2">
      <c r="B51" s="19" t="s">
        <v>40</v>
      </c>
      <c r="C51" s="8" t="s">
        <v>154</v>
      </c>
      <c r="D51" s="12" t="s">
        <v>155</v>
      </c>
      <c r="E51" s="9" t="s">
        <v>108</v>
      </c>
      <c r="F51" s="10" t="s">
        <v>109</v>
      </c>
      <c r="G51" s="69" t="s">
        <v>508</v>
      </c>
      <c r="H51" s="73" t="s">
        <v>542</v>
      </c>
      <c r="I51" s="24" t="s">
        <v>27</v>
      </c>
      <c r="J51" s="24" t="s">
        <v>110</v>
      </c>
      <c r="K51" s="25" t="s">
        <v>29</v>
      </c>
      <c r="L51" s="25" t="s">
        <v>156</v>
      </c>
      <c r="M51" s="15" t="s">
        <v>31</v>
      </c>
      <c r="N51" s="16" t="str">
        <f>Tabla1[[#This Row],[ABR_02]]</f>
        <v>SF</v>
      </c>
      <c r="O51" t="s">
        <v>32</v>
      </c>
      <c r="P51" t="s">
        <v>33</v>
      </c>
      <c r="Q51" t="s">
        <v>32</v>
      </c>
      <c r="R51" s="29" t="str">
        <f>_xlfn.CONCAT(Tabla1[[#This Row],[ABR_01]],"00",Tabla1[[#This Row],[ABR_02]],Tabla1[[#This Row],[ZONA2]],,"0",Tabla1[[#This Row],[PARADA2]])</f>
        <v>AR00SF1021</v>
      </c>
      <c r="S51" s="37" t="s">
        <v>36</v>
      </c>
      <c r="T51" s="37" t="s">
        <v>36</v>
      </c>
      <c r="U51" s="10" t="s">
        <v>109</v>
      </c>
    </row>
    <row r="52" spans="2:21" x14ac:dyDescent="0.2">
      <c r="B52" s="19" t="s">
        <v>40</v>
      </c>
      <c r="C52" s="8" t="s">
        <v>157</v>
      </c>
      <c r="D52" s="17" t="s">
        <v>157</v>
      </c>
      <c r="E52" s="9" t="s">
        <v>108</v>
      </c>
      <c r="F52" s="10" t="s">
        <v>109</v>
      </c>
      <c r="G52" s="69" t="s">
        <v>508</v>
      </c>
      <c r="H52" s="73" t="s">
        <v>508</v>
      </c>
      <c r="I52" s="24" t="s">
        <v>27</v>
      </c>
      <c r="J52" s="24" t="s">
        <v>110</v>
      </c>
      <c r="K52" s="25" t="s">
        <v>29</v>
      </c>
      <c r="L52" s="25" t="s">
        <v>158</v>
      </c>
      <c r="M52" s="15" t="s">
        <v>31</v>
      </c>
      <c r="N52" s="16" t="str">
        <f>Tabla1[[#This Row],[ABR_02]]</f>
        <v>SF</v>
      </c>
      <c r="O52" t="s">
        <v>32</v>
      </c>
      <c r="P52" t="s">
        <v>33</v>
      </c>
      <c r="Q52" t="s">
        <v>32</v>
      </c>
      <c r="R52" s="29" t="str">
        <f>_xlfn.CONCAT(Tabla1[[#This Row],[ABR_01]],"00",Tabla1[[#This Row],[ABR_02]],Tabla1[[#This Row],[ZONA2]],,"0",Tabla1[[#This Row],[PARADA2]])</f>
        <v>AR00SF1022</v>
      </c>
      <c r="S52" s="37" t="s">
        <v>36</v>
      </c>
      <c r="T52" s="37" t="s">
        <v>36</v>
      </c>
      <c r="U52" s="10" t="s">
        <v>109</v>
      </c>
    </row>
    <row r="53" spans="2:21" x14ac:dyDescent="0.2">
      <c r="B53" s="19" t="s">
        <v>40</v>
      </c>
      <c r="C53" s="8" t="s">
        <v>159</v>
      </c>
      <c r="D53" s="17" t="s">
        <v>160</v>
      </c>
      <c r="E53" s="9" t="s">
        <v>108</v>
      </c>
      <c r="F53" s="10" t="s">
        <v>109</v>
      </c>
      <c r="G53" s="69" t="s">
        <v>508</v>
      </c>
      <c r="H53" s="73" t="s">
        <v>543</v>
      </c>
      <c r="I53" s="24" t="s">
        <v>27</v>
      </c>
      <c r="J53" s="24" t="s">
        <v>110</v>
      </c>
      <c r="K53" s="25" t="s">
        <v>29</v>
      </c>
      <c r="L53" s="25" t="s">
        <v>161</v>
      </c>
      <c r="M53" s="15" t="s">
        <v>31</v>
      </c>
      <c r="N53" s="16" t="str">
        <f>Tabla1[[#This Row],[ABR_02]]</f>
        <v>SF</v>
      </c>
      <c r="O53" t="s">
        <v>32</v>
      </c>
      <c r="P53" t="s">
        <v>33</v>
      </c>
      <c r="Q53" t="s">
        <v>32</v>
      </c>
      <c r="R53" s="29" t="str">
        <f>_xlfn.CONCAT(Tabla1[[#This Row],[ABR_01]],"00",Tabla1[[#This Row],[ABR_02]],Tabla1[[#This Row],[ZONA2]],,"0",Tabla1[[#This Row],[PARADA2]])</f>
        <v>AR00SF1023</v>
      </c>
      <c r="S53" s="37" t="s">
        <v>36</v>
      </c>
      <c r="T53" s="37" t="s">
        <v>36</v>
      </c>
      <c r="U53" s="10" t="s">
        <v>109</v>
      </c>
    </row>
    <row r="54" spans="2:21" x14ac:dyDescent="0.2">
      <c r="B54" s="19" t="s">
        <v>40</v>
      </c>
      <c r="C54" s="8" t="s">
        <v>162</v>
      </c>
      <c r="D54" s="12" t="s">
        <v>163</v>
      </c>
      <c r="E54" s="9" t="s">
        <v>108</v>
      </c>
      <c r="F54" s="10" t="s">
        <v>109</v>
      </c>
      <c r="G54" s="69" t="s">
        <v>508</v>
      </c>
      <c r="H54" s="73" t="s">
        <v>544</v>
      </c>
      <c r="I54" s="24" t="s">
        <v>27</v>
      </c>
      <c r="J54" s="24" t="s">
        <v>110</v>
      </c>
      <c r="K54" s="25" t="s">
        <v>29</v>
      </c>
      <c r="L54" s="25" t="s">
        <v>164</v>
      </c>
      <c r="M54" s="15" t="s">
        <v>31</v>
      </c>
      <c r="N54" s="16" t="str">
        <f>Tabla1[[#This Row],[ABR_02]]</f>
        <v>SF</v>
      </c>
      <c r="O54" t="s">
        <v>32</v>
      </c>
      <c r="P54" t="s">
        <v>33</v>
      </c>
      <c r="Q54" t="s">
        <v>32</v>
      </c>
      <c r="R54" s="29" t="str">
        <f>_xlfn.CONCAT(Tabla1[[#This Row],[ABR_01]],"00",Tabla1[[#This Row],[ABR_02]],Tabla1[[#This Row],[ZONA2]],,"0",Tabla1[[#This Row],[PARADA2]])</f>
        <v>AR00SF1024</v>
      </c>
      <c r="S54" s="37" t="s">
        <v>36</v>
      </c>
      <c r="T54" s="37" t="s">
        <v>36</v>
      </c>
      <c r="U54" s="10" t="s">
        <v>109</v>
      </c>
    </row>
    <row r="55" spans="2:21" x14ac:dyDescent="0.2">
      <c r="B55" s="19" t="s">
        <v>40</v>
      </c>
      <c r="C55" s="8" t="s">
        <v>165</v>
      </c>
      <c r="D55" s="17" t="s">
        <v>165</v>
      </c>
      <c r="E55" s="9" t="s">
        <v>108</v>
      </c>
      <c r="F55" s="10" t="s">
        <v>109</v>
      </c>
      <c r="G55" s="69" t="s">
        <v>508</v>
      </c>
      <c r="H55" s="73" t="s">
        <v>545</v>
      </c>
      <c r="I55" s="24" t="s">
        <v>27</v>
      </c>
      <c r="J55" s="24" t="s">
        <v>110</v>
      </c>
      <c r="K55" s="25" t="s">
        <v>29</v>
      </c>
      <c r="L55" s="25" t="s">
        <v>166</v>
      </c>
      <c r="M55" s="15" t="s">
        <v>31</v>
      </c>
      <c r="N55" s="16" t="str">
        <f>Tabla1[[#This Row],[ABR_02]]</f>
        <v>SF</v>
      </c>
      <c r="O55" t="s">
        <v>32</v>
      </c>
      <c r="P55" t="s">
        <v>33</v>
      </c>
      <c r="Q55" t="s">
        <v>32</v>
      </c>
      <c r="R55" s="29" t="str">
        <f>_xlfn.CONCAT(Tabla1[[#This Row],[ABR_01]],"00",Tabla1[[#This Row],[ABR_02]],Tabla1[[#This Row],[ZONA2]],,"0",Tabla1[[#This Row],[PARADA2]])</f>
        <v>AR00SF1025</v>
      </c>
      <c r="S55" s="37" t="s">
        <v>36</v>
      </c>
      <c r="T55" s="37" t="s">
        <v>36</v>
      </c>
      <c r="U55" s="10" t="s">
        <v>109</v>
      </c>
    </row>
    <row r="56" spans="2:21" x14ac:dyDescent="0.2">
      <c r="B56" s="19" t="s">
        <v>40</v>
      </c>
      <c r="C56" s="8" t="s">
        <v>167</v>
      </c>
      <c r="D56" s="12" t="s">
        <v>168</v>
      </c>
      <c r="E56" s="9" t="s">
        <v>169</v>
      </c>
      <c r="F56" s="10" t="s">
        <v>55</v>
      </c>
      <c r="G56" s="69" t="s">
        <v>546</v>
      </c>
      <c r="H56" s="73" t="s">
        <v>547</v>
      </c>
      <c r="I56" s="24" t="s">
        <v>27</v>
      </c>
      <c r="J56" s="24" t="s">
        <v>170</v>
      </c>
      <c r="K56" s="25" t="s">
        <v>29</v>
      </c>
      <c r="L56" s="25" t="s">
        <v>30</v>
      </c>
      <c r="M56" s="15" t="s">
        <v>31</v>
      </c>
      <c r="N56" s="16" t="str">
        <f>Tabla1[[#This Row],[ABR_02]]</f>
        <v>SC</v>
      </c>
      <c r="O56" t="s">
        <v>32</v>
      </c>
      <c r="P56" t="s">
        <v>33</v>
      </c>
      <c r="Q56" t="s">
        <v>57</v>
      </c>
      <c r="R56" s="29" t="str">
        <f>_xlfn.CONCAT(Tabla1[[#This Row],[ABR_01]],"00",Tabla1[[#This Row],[ABR_02]],Tabla1[[#This Row],[ZONA2]],,"0",Tabla1[[#This Row],[PARADA2]])</f>
        <v>AR00SC1001</v>
      </c>
      <c r="S56" s="37" t="s">
        <v>36</v>
      </c>
      <c r="T56" s="37" t="s">
        <v>36</v>
      </c>
      <c r="U56" s="10" t="s">
        <v>55</v>
      </c>
    </row>
    <row r="57" spans="2:21" x14ac:dyDescent="0.2">
      <c r="B57" s="19" t="s">
        <v>40</v>
      </c>
      <c r="C57" s="8" t="s">
        <v>171</v>
      </c>
      <c r="D57" s="12" t="s">
        <v>172</v>
      </c>
      <c r="E57" s="9" t="s">
        <v>169</v>
      </c>
      <c r="F57" s="10" t="s">
        <v>55</v>
      </c>
      <c r="G57" s="69" t="s">
        <v>546</v>
      </c>
      <c r="H57" s="73" t="s">
        <v>548</v>
      </c>
      <c r="I57" s="24" t="s">
        <v>27</v>
      </c>
      <c r="J57" s="24" t="s">
        <v>170</v>
      </c>
      <c r="K57" s="25" t="s">
        <v>29</v>
      </c>
      <c r="L57" s="25" t="s">
        <v>46</v>
      </c>
      <c r="M57" s="15" t="s">
        <v>31</v>
      </c>
      <c r="N57" s="16" t="str">
        <f>Tabla1[[#This Row],[ABR_02]]</f>
        <v>SC</v>
      </c>
      <c r="O57" t="s">
        <v>32</v>
      </c>
      <c r="P57" t="s">
        <v>33</v>
      </c>
      <c r="Q57" t="s">
        <v>57</v>
      </c>
      <c r="R57" s="29" t="str">
        <f>_xlfn.CONCAT(Tabla1[[#This Row],[ABR_01]],"00",Tabla1[[#This Row],[ABR_02]],Tabla1[[#This Row],[ZONA2]],,"0",Tabla1[[#This Row],[PARADA2]])</f>
        <v>AR00SC1002</v>
      </c>
      <c r="S57" s="37" t="s">
        <v>36</v>
      </c>
      <c r="T57" s="37" t="s">
        <v>36</v>
      </c>
      <c r="U57" s="10" t="s">
        <v>55</v>
      </c>
    </row>
    <row r="58" spans="2:21" x14ac:dyDescent="0.2">
      <c r="B58" s="19" t="s">
        <v>40</v>
      </c>
      <c r="C58" s="8" t="s">
        <v>173</v>
      </c>
      <c r="D58" s="12" t="s">
        <v>174</v>
      </c>
      <c r="E58" s="9" t="s">
        <v>169</v>
      </c>
      <c r="F58" s="10" t="s">
        <v>55</v>
      </c>
      <c r="G58" s="69" t="s">
        <v>546</v>
      </c>
      <c r="H58" s="73" t="s">
        <v>549</v>
      </c>
      <c r="I58" s="24" t="s">
        <v>27</v>
      </c>
      <c r="J58" s="24" t="s">
        <v>170</v>
      </c>
      <c r="K58" s="25" t="s">
        <v>29</v>
      </c>
      <c r="L58" s="25" t="s">
        <v>48</v>
      </c>
      <c r="M58" s="15" t="s">
        <v>31</v>
      </c>
      <c r="N58" s="16" t="str">
        <f>Tabla1[[#This Row],[ABR_02]]</f>
        <v>SC</v>
      </c>
      <c r="O58" t="s">
        <v>32</v>
      </c>
      <c r="P58" t="s">
        <v>33</v>
      </c>
      <c r="Q58" t="s">
        <v>57</v>
      </c>
      <c r="R58" s="29" t="str">
        <f>_xlfn.CONCAT(Tabla1[[#This Row],[ABR_01]],"00",Tabla1[[#This Row],[ABR_02]],Tabla1[[#This Row],[ZONA2]],,"0",Tabla1[[#This Row],[PARADA2]])</f>
        <v>AR00SC1003</v>
      </c>
      <c r="S58" s="37" t="s">
        <v>36</v>
      </c>
      <c r="T58" s="37" t="s">
        <v>36</v>
      </c>
      <c r="U58" s="10" t="s">
        <v>55</v>
      </c>
    </row>
    <row r="59" spans="2:21" x14ac:dyDescent="0.2">
      <c r="B59" s="19" t="s">
        <v>40</v>
      </c>
      <c r="C59" s="8" t="s">
        <v>175</v>
      </c>
      <c r="D59" s="12" t="s">
        <v>176</v>
      </c>
      <c r="E59" s="9" t="s">
        <v>169</v>
      </c>
      <c r="F59" s="10" t="s">
        <v>55</v>
      </c>
      <c r="G59" s="69" t="s">
        <v>546</v>
      </c>
      <c r="H59" s="73" t="s">
        <v>550</v>
      </c>
      <c r="I59" s="24" t="s">
        <v>27</v>
      </c>
      <c r="J59" s="24" t="s">
        <v>170</v>
      </c>
      <c r="K59" s="25" t="s">
        <v>29</v>
      </c>
      <c r="L59" s="25" t="s">
        <v>51</v>
      </c>
      <c r="M59" s="15" t="s">
        <v>31</v>
      </c>
      <c r="N59" s="16" t="str">
        <f>Tabla1[[#This Row],[ABR_02]]</f>
        <v>SC</v>
      </c>
      <c r="O59" t="s">
        <v>32</v>
      </c>
      <c r="P59" t="s">
        <v>33</v>
      </c>
      <c r="Q59" t="s">
        <v>57</v>
      </c>
      <c r="R59" s="29" t="str">
        <f>_xlfn.CONCAT(Tabla1[[#This Row],[ABR_01]],"00",Tabla1[[#This Row],[ABR_02]],Tabla1[[#This Row],[ZONA2]],,"0",Tabla1[[#This Row],[PARADA2]])</f>
        <v>AR00SC1004</v>
      </c>
      <c r="S59" s="37" t="s">
        <v>36</v>
      </c>
      <c r="T59" s="37" t="s">
        <v>36</v>
      </c>
      <c r="U59" s="10" t="s">
        <v>55</v>
      </c>
    </row>
    <row r="60" spans="2:21" x14ac:dyDescent="0.2">
      <c r="B60" s="19" t="s">
        <v>40</v>
      </c>
      <c r="C60" s="8" t="s">
        <v>177</v>
      </c>
      <c r="D60" s="17" t="s">
        <v>178</v>
      </c>
      <c r="E60" s="9" t="s">
        <v>169</v>
      </c>
      <c r="F60" s="10" t="s">
        <v>55</v>
      </c>
      <c r="G60" s="69" t="s">
        <v>546</v>
      </c>
      <c r="H60" s="73" t="s">
        <v>551</v>
      </c>
      <c r="I60" s="24" t="s">
        <v>27</v>
      </c>
      <c r="J60" s="24" t="s">
        <v>170</v>
      </c>
      <c r="K60" s="25" t="s">
        <v>29</v>
      </c>
      <c r="L60" s="25" t="s">
        <v>65</v>
      </c>
      <c r="M60" s="15" t="s">
        <v>31</v>
      </c>
      <c r="N60" s="16" t="str">
        <f>Tabla1[[#This Row],[ABR_02]]</f>
        <v>SC</v>
      </c>
      <c r="O60" t="s">
        <v>32</v>
      </c>
      <c r="P60" t="s">
        <v>33</v>
      </c>
      <c r="Q60" t="s">
        <v>57</v>
      </c>
      <c r="R60" s="29" t="str">
        <f>_xlfn.CONCAT(Tabla1[[#This Row],[ABR_01]],"00",Tabla1[[#This Row],[ABR_02]],Tabla1[[#This Row],[ZONA2]],,"0",Tabla1[[#This Row],[PARADA2]])</f>
        <v>AR00SC1005</v>
      </c>
      <c r="S60" s="37" t="s">
        <v>36</v>
      </c>
      <c r="T60" s="37" t="s">
        <v>36</v>
      </c>
      <c r="U60" s="10" t="s">
        <v>55</v>
      </c>
    </row>
    <row r="61" spans="2:21" x14ac:dyDescent="0.2">
      <c r="B61" s="19" t="s">
        <v>40</v>
      </c>
      <c r="C61" s="8" t="s">
        <v>179</v>
      </c>
      <c r="D61" s="17" t="s">
        <v>179</v>
      </c>
      <c r="E61" s="9" t="s">
        <v>169</v>
      </c>
      <c r="F61" s="10" t="s">
        <v>55</v>
      </c>
      <c r="G61" s="69" t="s">
        <v>546</v>
      </c>
      <c r="H61" s="73" t="s">
        <v>552</v>
      </c>
      <c r="I61" s="24" t="s">
        <v>27</v>
      </c>
      <c r="J61" s="24" t="s">
        <v>170</v>
      </c>
      <c r="K61" s="25" t="s">
        <v>29</v>
      </c>
      <c r="L61" s="25" t="s">
        <v>67</v>
      </c>
      <c r="M61" s="15" t="s">
        <v>31</v>
      </c>
      <c r="N61" s="16" t="str">
        <f>Tabla1[[#This Row],[ABR_02]]</f>
        <v>SC</v>
      </c>
      <c r="O61" t="s">
        <v>32</v>
      </c>
      <c r="P61" t="s">
        <v>33</v>
      </c>
      <c r="Q61" t="s">
        <v>57</v>
      </c>
      <c r="R61" s="29" t="str">
        <f>_xlfn.CONCAT(Tabla1[[#This Row],[ABR_01]],"00",Tabla1[[#This Row],[ABR_02]],Tabla1[[#This Row],[ZONA2]],,"0",Tabla1[[#This Row],[PARADA2]])</f>
        <v>AR00SC1006</v>
      </c>
      <c r="S61" s="37" t="s">
        <v>36</v>
      </c>
      <c r="T61" s="37" t="s">
        <v>36</v>
      </c>
      <c r="U61" s="10" t="s">
        <v>55</v>
      </c>
    </row>
    <row r="62" spans="2:21" x14ac:dyDescent="0.2">
      <c r="B62" s="19" t="s">
        <v>40</v>
      </c>
      <c r="C62" s="8" t="s">
        <v>180</v>
      </c>
      <c r="D62" s="17" t="s">
        <v>181</v>
      </c>
      <c r="E62" s="9" t="s">
        <v>169</v>
      </c>
      <c r="F62" s="10" t="s">
        <v>55</v>
      </c>
      <c r="G62" s="69" t="s">
        <v>546</v>
      </c>
      <c r="H62" s="73" t="s">
        <v>553</v>
      </c>
      <c r="I62" s="24" t="s">
        <v>27</v>
      </c>
      <c r="J62" s="24" t="s">
        <v>170</v>
      </c>
      <c r="K62" s="25" t="s">
        <v>29</v>
      </c>
      <c r="L62" s="25" t="s">
        <v>70</v>
      </c>
      <c r="M62" s="15" t="s">
        <v>31</v>
      </c>
      <c r="N62" s="16" t="str">
        <f>Tabla1[[#This Row],[ABR_02]]</f>
        <v>SC</v>
      </c>
      <c r="O62" t="s">
        <v>32</v>
      </c>
      <c r="P62" t="s">
        <v>33</v>
      </c>
      <c r="Q62" t="s">
        <v>57</v>
      </c>
      <c r="R62" s="29" t="str">
        <f>_xlfn.CONCAT(Tabla1[[#This Row],[ABR_01]],"00",Tabla1[[#This Row],[ABR_02]],Tabla1[[#This Row],[ZONA2]],,"0",Tabla1[[#This Row],[PARADA2]])</f>
        <v>AR00SC1007</v>
      </c>
      <c r="S62" s="37" t="s">
        <v>36</v>
      </c>
      <c r="T62" s="37" t="s">
        <v>36</v>
      </c>
      <c r="U62" s="10" t="s">
        <v>55</v>
      </c>
    </row>
    <row r="63" spans="2:21" x14ac:dyDescent="0.2">
      <c r="B63" s="19" t="s">
        <v>40</v>
      </c>
      <c r="C63" s="8" t="s">
        <v>182</v>
      </c>
      <c r="D63" s="12" t="s">
        <v>183</v>
      </c>
      <c r="E63" s="9" t="s">
        <v>169</v>
      </c>
      <c r="F63" s="10" t="s">
        <v>55</v>
      </c>
      <c r="G63" s="69" t="s">
        <v>546</v>
      </c>
      <c r="H63" s="73" t="s">
        <v>554</v>
      </c>
      <c r="I63" s="24" t="s">
        <v>27</v>
      </c>
      <c r="J63" s="24" t="s">
        <v>170</v>
      </c>
      <c r="K63" s="25" t="s">
        <v>29</v>
      </c>
      <c r="L63" s="25" t="s">
        <v>73</v>
      </c>
      <c r="M63" s="15" t="s">
        <v>31</v>
      </c>
      <c r="N63" s="16" t="str">
        <f>Tabla1[[#This Row],[ABR_02]]</f>
        <v>SC</v>
      </c>
      <c r="O63" t="s">
        <v>32</v>
      </c>
      <c r="P63" t="s">
        <v>33</v>
      </c>
      <c r="Q63" t="s">
        <v>57</v>
      </c>
      <c r="R63" s="29" t="str">
        <f>_xlfn.CONCAT(Tabla1[[#This Row],[ABR_01]],"00",Tabla1[[#This Row],[ABR_02]],Tabla1[[#This Row],[ZONA2]],,"0",Tabla1[[#This Row],[PARADA2]])</f>
        <v>AR00SC1008</v>
      </c>
      <c r="S63" s="37" t="s">
        <v>36</v>
      </c>
      <c r="T63" s="37" t="s">
        <v>36</v>
      </c>
      <c r="U63" s="10" t="s">
        <v>55</v>
      </c>
    </row>
    <row r="64" spans="2:21" x14ac:dyDescent="0.2">
      <c r="B64" s="19" t="s">
        <v>40</v>
      </c>
      <c r="C64" s="8" t="s">
        <v>184</v>
      </c>
      <c r="D64" s="17" t="s">
        <v>184</v>
      </c>
      <c r="E64" s="9" t="s">
        <v>169</v>
      </c>
      <c r="F64" s="10" t="s">
        <v>55</v>
      </c>
      <c r="G64" s="69" t="s">
        <v>546</v>
      </c>
      <c r="H64" s="73" t="s">
        <v>555</v>
      </c>
      <c r="I64" s="24" t="s">
        <v>27</v>
      </c>
      <c r="J64" s="24" t="s">
        <v>170</v>
      </c>
      <c r="K64" s="25" t="s">
        <v>29</v>
      </c>
      <c r="L64" s="25" t="s">
        <v>125</v>
      </c>
      <c r="M64" s="15" t="s">
        <v>31</v>
      </c>
      <c r="N64" s="16" t="str">
        <f>Tabla1[[#This Row],[ABR_02]]</f>
        <v>SC</v>
      </c>
      <c r="O64" t="s">
        <v>32</v>
      </c>
      <c r="P64" t="s">
        <v>33</v>
      </c>
      <c r="Q64" t="s">
        <v>57</v>
      </c>
      <c r="R64" s="29" t="str">
        <f>_xlfn.CONCAT(Tabla1[[#This Row],[ABR_01]],"00",Tabla1[[#This Row],[ABR_02]],Tabla1[[#This Row],[ZONA2]],,"0",Tabla1[[#This Row],[PARADA2]])</f>
        <v>AR00SC1009</v>
      </c>
      <c r="S64" s="37" t="s">
        <v>36</v>
      </c>
      <c r="T64" s="37" t="s">
        <v>36</v>
      </c>
      <c r="U64" s="10" t="s">
        <v>55</v>
      </c>
    </row>
    <row r="65" spans="2:21" x14ac:dyDescent="0.2">
      <c r="B65" s="19" t="s">
        <v>40</v>
      </c>
      <c r="C65" s="8" t="s">
        <v>185</v>
      </c>
      <c r="D65" s="12" t="s">
        <v>186</v>
      </c>
      <c r="E65" s="9" t="s">
        <v>169</v>
      </c>
      <c r="F65" s="10" t="s">
        <v>55</v>
      </c>
      <c r="G65" s="69" t="s">
        <v>546</v>
      </c>
      <c r="H65" s="73" t="s">
        <v>556</v>
      </c>
      <c r="I65" s="24" t="s">
        <v>27</v>
      </c>
      <c r="J65" s="24" t="s">
        <v>170</v>
      </c>
      <c r="K65" s="25" t="s">
        <v>29</v>
      </c>
      <c r="L65" s="25" t="s">
        <v>128</v>
      </c>
      <c r="M65" s="15" t="s">
        <v>31</v>
      </c>
      <c r="N65" s="16" t="str">
        <f>Tabla1[[#This Row],[ABR_02]]</f>
        <v>SC</v>
      </c>
      <c r="O65" t="s">
        <v>32</v>
      </c>
      <c r="P65" t="s">
        <v>33</v>
      </c>
      <c r="Q65" t="s">
        <v>57</v>
      </c>
      <c r="R65" s="29" t="str">
        <f>_xlfn.CONCAT(Tabla1[[#This Row],[ABR_01]],"00",Tabla1[[#This Row],[ABR_02]],Tabla1[[#This Row],[ZONA2]],,"0",Tabla1[[#This Row],[PARADA2]])</f>
        <v>AR00SC1010</v>
      </c>
      <c r="S65" s="37" t="s">
        <v>36</v>
      </c>
      <c r="T65" s="37" t="s">
        <v>36</v>
      </c>
      <c r="U65" s="10" t="s">
        <v>55</v>
      </c>
    </row>
    <row r="66" spans="2:21" x14ac:dyDescent="0.2">
      <c r="B66" s="19" t="s">
        <v>40</v>
      </c>
      <c r="C66" s="8" t="s">
        <v>187</v>
      </c>
      <c r="D66" s="12" t="s">
        <v>188</v>
      </c>
      <c r="E66" s="9" t="s">
        <v>169</v>
      </c>
      <c r="F66" s="10" t="s">
        <v>55</v>
      </c>
      <c r="G66" s="69" t="s">
        <v>546</v>
      </c>
      <c r="H66" s="73" t="s">
        <v>557</v>
      </c>
      <c r="I66" s="24" t="s">
        <v>27</v>
      </c>
      <c r="J66" s="24" t="s">
        <v>170</v>
      </c>
      <c r="K66" s="25" t="s">
        <v>29</v>
      </c>
      <c r="L66" s="25" t="s">
        <v>130</v>
      </c>
      <c r="M66" s="15" t="s">
        <v>31</v>
      </c>
      <c r="N66" s="16" t="str">
        <f>Tabla1[[#This Row],[ABR_02]]</f>
        <v>SC</v>
      </c>
      <c r="O66" t="s">
        <v>32</v>
      </c>
      <c r="P66" t="s">
        <v>33</v>
      </c>
      <c r="Q66" t="s">
        <v>57</v>
      </c>
      <c r="R66" s="29" t="str">
        <f>_xlfn.CONCAT(Tabla1[[#This Row],[ABR_01]],"00",Tabla1[[#This Row],[ABR_02]],Tabla1[[#This Row],[ZONA2]],,"0",Tabla1[[#This Row],[PARADA2]])</f>
        <v>AR00SC1011</v>
      </c>
      <c r="S66" s="37" t="s">
        <v>36</v>
      </c>
      <c r="T66" s="37" t="s">
        <v>36</v>
      </c>
      <c r="U66" s="10" t="s">
        <v>55</v>
      </c>
    </row>
    <row r="67" spans="2:21" x14ac:dyDescent="0.2">
      <c r="B67" s="19" t="s">
        <v>40</v>
      </c>
      <c r="C67" s="8" t="s">
        <v>189</v>
      </c>
      <c r="D67" s="12" t="s">
        <v>190</v>
      </c>
      <c r="E67" s="9" t="s">
        <v>169</v>
      </c>
      <c r="F67" s="10" t="s">
        <v>55</v>
      </c>
      <c r="G67" s="69" t="s">
        <v>546</v>
      </c>
      <c r="H67" s="73" t="s">
        <v>558</v>
      </c>
      <c r="I67" s="24" t="s">
        <v>27</v>
      </c>
      <c r="J67" s="24" t="s">
        <v>170</v>
      </c>
      <c r="K67" s="25" t="s">
        <v>29</v>
      </c>
      <c r="L67" s="25" t="s">
        <v>132</v>
      </c>
      <c r="M67" s="15" t="s">
        <v>31</v>
      </c>
      <c r="N67" s="16" t="str">
        <f>Tabla1[[#This Row],[ABR_02]]</f>
        <v>SC</v>
      </c>
      <c r="O67" t="s">
        <v>32</v>
      </c>
      <c r="P67" t="s">
        <v>33</v>
      </c>
      <c r="Q67" t="s">
        <v>57</v>
      </c>
      <c r="R67" s="29" t="str">
        <f>_xlfn.CONCAT(Tabla1[[#This Row],[ABR_01]],"00",Tabla1[[#This Row],[ABR_02]],Tabla1[[#This Row],[ZONA2]],,"0",Tabla1[[#This Row],[PARADA2]])</f>
        <v>AR00SC1012</v>
      </c>
      <c r="S67" s="37" t="s">
        <v>36</v>
      </c>
      <c r="T67" s="37" t="s">
        <v>36</v>
      </c>
      <c r="U67" s="10" t="s">
        <v>55</v>
      </c>
    </row>
    <row r="68" spans="2:21" x14ac:dyDescent="0.2">
      <c r="B68" s="19" t="s">
        <v>40</v>
      </c>
      <c r="C68" s="8" t="s">
        <v>191</v>
      </c>
      <c r="D68" s="17" t="s">
        <v>192</v>
      </c>
      <c r="E68" s="9" t="s">
        <v>169</v>
      </c>
      <c r="F68" s="10" t="s">
        <v>55</v>
      </c>
      <c r="G68" s="69" t="s">
        <v>546</v>
      </c>
      <c r="H68" s="73" t="s">
        <v>559</v>
      </c>
      <c r="I68" s="24" t="s">
        <v>27</v>
      </c>
      <c r="J68" s="24" t="s">
        <v>170</v>
      </c>
      <c r="K68" s="25" t="s">
        <v>29</v>
      </c>
      <c r="L68" s="25" t="s">
        <v>134</v>
      </c>
      <c r="M68" s="15" t="s">
        <v>31</v>
      </c>
      <c r="N68" s="16" t="str">
        <f>Tabla1[[#This Row],[ABR_02]]</f>
        <v>SC</v>
      </c>
      <c r="O68" t="s">
        <v>32</v>
      </c>
      <c r="P68" t="s">
        <v>33</v>
      </c>
      <c r="Q68" t="s">
        <v>57</v>
      </c>
      <c r="R68" s="29" t="str">
        <f>_xlfn.CONCAT(Tabla1[[#This Row],[ABR_01]],"00",Tabla1[[#This Row],[ABR_02]],Tabla1[[#This Row],[ZONA2]],,"0",Tabla1[[#This Row],[PARADA2]])</f>
        <v>AR00SC1013</v>
      </c>
      <c r="S68" s="37" t="s">
        <v>36</v>
      </c>
      <c r="T68" s="37" t="s">
        <v>36</v>
      </c>
      <c r="U68" s="10" t="s">
        <v>55</v>
      </c>
    </row>
    <row r="69" spans="2:21" x14ac:dyDescent="0.2">
      <c r="B69" s="19" t="s">
        <v>40</v>
      </c>
      <c r="C69" s="8" t="s">
        <v>193</v>
      </c>
      <c r="D69" s="12" t="s">
        <v>194</v>
      </c>
      <c r="E69" s="9" t="s">
        <v>195</v>
      </c>
      <c r="F69" s="10" t="s">
        <v>196</v>
      </c>
      <c r="G69" s="69" t="s">
        <v>560</v>
      </c>
      <c r="H69" s="73" t="s">
        <v>561</v>
      </c>
      <c r="I69" s="24" t="s">
        <v>27</v>
      </c>
      <c r="J69" s="24" t="s">
        <v>197</v>
      </c>
      <c r="K69" s="25" t="s">
        <v>29</v>
      </c>
      <c r="L69" s="25" t="s">
        <v>30</v>
      </c>
      <c r="M69" s="15" t="s">
        <v>31</v>
      </c>
      <c r="N69" s="16" t="str">
        <f>Tabla1[[#This Row],[ABR_02]]</f>
        <v>SL</v>
      </c>
      <c r="O69" t="s">
        <v>32</v>
      </c>
      <c r="P69" t="s">
        <v>33</v>
      </c>
      <c r="Q69" t="s">
        <v>57</v>
      </c>
      <c r="R69" s="29" t="str">
        <f>_xlfn.CONCAT(Tabla1[[#This Row],[ABR_01]],"00",Tabla1[[#This Row],[ABR_02]],Tabla1[[#This Row],[ZONA2]],,"0",Tabla1[[#This Row],[PARADA2]])</f>
        <v>AR00SL1001</v>
      </c>
      <c r="S69" s="37" t="s">
        <v>36</v>
      </c>
      <c r="T69" s="37" t="s">
        <v>36</v>
      </c>
      <c r="U69" s="10" t="s">
        <v>196</v>
      </c>
    </row>
    <row r="70" spans="2:21" x14ac:dyDescent="0.2">
      <c r="B70" s="19" t="s">
        <v>40</v>
      </c>
      <c r="C70" s="8" t="s">
        <v>198</v>
      </c>
      <c r="D70" s="12" t="s">
        <v>199</v>
      </c>
      <c r="E70" s="9" t="s">
        <v>195</v>
      </c>
      <c r="F70" s="10" t="s">
        <v>196</v>
      </c>
      <c r="G70" s="69" t="s">
        <v>560</v>
      </c>
      <c r="H70" s="73" t="s">
        <v>562</v>
      </c>
      <c r="I70" s="24" t="s">
        <v>27</v>
      </c>
      <c r="J70" s="24" t="s">
        <v>197</v>
      </c>
      <c r="K70" s="25" t="s">
        <v>29</v>
      </c>
      <c r="L70" s="25" t="s">
        <v>46</v>
      </c>
      <c r="M70" s="15" t="s">
        <v>31</v>
      </c>
      <c r="N70" s="16" t="str">
        <f>Tabla1[[#This Row],[ABR_02]]</f>
        <v>SL</v>
      </c>
      <c r="O70" t="s">
        <v>32</v>
      </c>
      <c r="P70" t="s">
        <v>33</v>
      </c>
      <c r="Q70" t="s">
        <v>57</v>
      </c>
      <c r="R70" s="29" t="str">
        <f>_xlfn.CONCAT(Tabla1[[#This Row],[ABR_01]],"00",Tabla1[[#This Row],[ABR_02]],Tabla1[[#This Row],[ZONA2]],,"0",Tabla1[[#This Row],[PARADA2]])</f>
        <v>AR00SL1002</v>
      </c>
      <c r="S70" s="37" t="s">
        <v>36</v>
      </c>
      <c r="T70" s="37" t="s">
        <v>36</v>
      </c>
      <c r="U70" s="10" t="s">
        <v>196</v>
      </c>
    </row>
    <row r="71" spans="2:21" x14ac:dyDescent="0.2">
      <c r="B71" s="19" t="s">
        <v>40</v>
      </c>
      <c r="C71" s="8" t="s">
        <v>200</v>
      </c>
      <c r="D71" s="12" t="s">
        <v>201</v>
      </c>
      <c r="E71" s="9" t="s">
        <v>202</v>
      </c>
      <c r="F71" s="10" t="s">
        <v>196</v>
      </c>
      <c r="G71" s="69" t="s">
        <v>563</v>
      </c>
      <c r="H71" s="73" t="s">
        <v>564</v>
      </c>
      <c r="I71" s="24" t="s">
        <v>27</v>
      </c>
      <c r="J71" s="24" t="s">
        <v>203</v>
      </c>
      <c r="K71" s="25" t="s">
        <v>29</v>
      </c>
      <c r="L71" s="25" t="s">
        <v>30</v>
      </c>
      <c r="M71" s="15" t="s">
        <v>31</v>
      </c>
      <c r="N71" s="16" t="str">
        <f>Tabla1[[#This Row],[ABR_02]]</f>
        <v>SJ</v>
      </c>
      <c r="O71" t="s">
        <v>32</v>
      </c>
      <c r="P71" t="s">
        <v>33</v>
      </c>
      <c r="Q71" t="s">
        <v>57</v>
      </c>
      <c r="R71" s="29" t="str">
        <f>_xlfn.CONCAT(Tabla1[[#This Row],[ABR_01]],"00",Tabla1[[#This Row],[ABR_02]],Tabla1[[#This Row],[ZONA2]],,"0",Tabla1[[#This Row],[PARADA2]])</f>
        <v>AR00SJ1001</v>
      </c>
      <c r="S71" s="37" t="s">
        <v>36</v>
      </c>
      <c r="T71" s="37" t="s">
        <v>36</v>
      </c>
      <c r="U71" s="10" t="s">
        <v>196</v>
      </c>
    </row>
    <row r="72" spans="2:21" x14ac:dyDescent="0.2">
      <c r="B72" s="19" t="s">
        <v>40</v>
      </c>
      <c r="C72" s="8" t="s">
        <v>204</v>
      </c>
      <c r="D72" s="12" t="s">
        <v>205</v>
      </c>
      <c r="E72" s="9" t="s">
        <v>202</v>
      </c>
      <c r="F72" s="10" t="s">
        <v>196</v>
      </c>
      <c r="G72" s="69" t="s">
        <v>563</v>
      </c>
      <c r="H72" s="73" t="s">
        <v>565</v>
      </c>
      <c r="I72" s="24" t="s">
        <v>27</v>
      </c>
      <c r="J72" s="24" t="s">
        <v>203</v>
      </c>
      <c r="K72" s="25" t="s">
        <v>29</v>
      </c>
      <c r="L72" s="25" t="s">
        <v>46</v>
      </c>
      <c r="M72" s="15" t="s">
        <v>31</v>
      </c>
      <c r="N72" s="16" t="str">
        <f>Tabla1[[#This Row],[ABR_02]]</f>
        <v>SJ</v>
      </c>
      <c r="O72" t="s">
        <v>32</v>
      </c>
      <c r="P72" t="s">
        <v>33</v>
      </c>
      <c r="Q72" t="s">
        <v>57</v>
      </c>
      <c r="R72" s="29" t="str">
        <f>_xlfn.CONCAT(Tabla1[[#This Row],[ABR_01]],"00",Tabla1[[#This Row],[ABR_02]],Tabla1[[#This Row],[ZONA2]],,"0",Tabla1[[#This Row],[PARADA2]])</f>
        <v>AR00SJ1002</v>
      </c>
      <c r="S72" s="37" t="s">
        <v>36</v>
      </c>
      <c r="T72" s="37" t="s">
        <v>36</v>
      </c>
      <c r="U72" s="10" t="s">
        <v>196</v>
      </c>
    </row>
    <row r="73" spans="2:21" x14ac:dyDescent="0.2">
      <c r="B73" s="19" t="s">
        <v>40</v>
      </c>
      <c r="C73" s="8" t="s">
        <v>206</v>
      </c>
      <c r="D73" s="17" t="s">
        <v>206</v>
      </c>
      <c r="E73" s="9" t="s">
        <v>202</v>
      </c>
      <c r="F73" s="10" t="s">
        <v>196</v>
      </c>
      <c r="G73" s="69" t="s">
        <v>563</v>
      </c>
      <c r="H73" s="73" t="s">
        <v>566</v>
      </c>
      <c r="I73" s="24" t="s">
        <v>27</v>
      </c>
      <c r="J73" s="24" t="s">
        <v>203</v>
      </c>
      <c r="K73" s="25" t="s">
        <v>29</v>
      </c>
      <c r="L73" s="25" t="s">
        <v>48</v>
      </c>
      <c r="M73" s="15" t="s">
        <v>31</v>
      </c>
      <c r="N73" s="16" t="str">
        <f>Tabla1[[#This Row],[ABR_02]]</f>
        <v>SJ</v>
      </c>
      <c r="O73" t="s">
        <v>32</v>
      </c>
      <c r="P73" t="s">
        <v>33</v>
      </c>
      <c r="Q73" t="s">
        <v>57</v>
      </c>
      <c r="R73" s="29" t="str">
        <f>_xlfn.CONCAT(Tabla1[[#This Row],[ABR_01]],"00",Tabla1[[#This Row],[ABR_02]],Tabla1[[#This Row],[ZONA2]],,"0",Tabla1[[#This Row],[PARADA2]])</f>
        <v>AR00SJ1003</v>
      </c>
      <c r="S73" s="37" t="s">
        <v>36</v>
      </c>
      <c r="T73" s="37" t="s">
        <v>36</v>
      </c>
      <c r="U73" s="10" t="s">
        <v>196</v>
      </c>
    </row>
    <row r="74" spans="2:21" x14ac:dyDescent="0.2">
      <c r="B74" s="19" t="s">
        <v>40</v>
      </c>
      <c r="C74" s="8" t="s">
        <v>207</v>
      </c>
      <c r="D74" s="12" t="s">
        <v>208</v>
      </c>
      <c r="E74" s="9" t="s">
        <v>209</v>
      </c>
      <c r="F74" s="10" t="s">
        <v>88</v>
      </c>
      <c r="G74" s="69" t="s">
        <v>567</v>
      </c>
      <c r="H74" s="73" t="s">
        <v>568</v>
      </c>
      <c r="I74" s="24" t="s">
        <v>27</v>
      </c>
      <c r="J74" s="24" t="s">
        <v>210</v>
      </c>
      <c r="K74" s="25" t="s">
        <v>29</v>
      </c>
      <c r="L74" s="25" t="s">
        <v>30</v>
      </c>
      <c r="M74" s="15" t="s">
        <v>31</v>
      </c>
      <c r="N74" s="16" t="str">
        <f>Tabla1[[#This Row],[ABR_02]]</f>
        <v>SA</v>
      </c>
      <c r="O74" t="s">
        <v>32</v>
      </c>
      <c r="P74" t="s">
        <v>33</v>
      </c>
      <c r="Q74" t="s">
        <v>57</v>
      </c>
      <c r="R74" s="29" t="str">
        <f>_xlfn.CONCAT(Tabla1[[#This Row],[ABR_01]],"00",Tabla1[[#This Row],[ABR_02]],Tabla1[[#This Row],[ZONA2]],,"0",Tabla1[[#This Row],[PARADA2]])</f>
        <v>AR00SA1001</v>
      </c>
      <c r="S74" s="37" t="s">
        <v>36</v>
      </c>
      <c r="T74" s="37" t="s">
        <v>36</v>
      </c>
      <c r="U74" s="10" t="s">
        <v>88</v>
      </c>
    </row>
    <row r="75" spans="2:21" x14ac:dyDescent="0.2">
      <c r="B75" s="19" t="s">
        <v>40</v>
      </c>
      <c r="C75" s="8" t="s">
        <v>211</v>
      </c>
      <c r="D75" s="17" t="s">
        <v>211</v>
      </c>
      <c r="E75" s="9" t="s">
        <v>209</v>
      </c>
      <c r="F75" s="10" t="s">
        <v>88</v>
      </c>
      <c r="G75" s="69" t="s">
        <v>567</v>
      </c>
      <c r="H75" s="73" t="s">
        <v>569</v>
      </c>
      <c r="I75" s="24" t="s">
        <v>27</v>
      </c>
      <c r="J75" s="24" t="s">
        <v>210</v>
      </c>
      <c r="K75" s="25" t="s">
        <v>29</v>
      </c>
      <c r="L75" s="25" t="s">
        <v>46</v>
      </c>
      <c r="M75" s="15" t="s">
        <v>31</v>
      </c>
      <c r="N75" s="16" t="str">
        <f>Tabla1[[#This Row],[ABR_02]]</f>
        <v>SA</v>
      </c>
      <c r="O75" t="s">
        <v>32</v>
      </c>
      <c r="P75" t="s">
        <v>33</v>
      </c>
      <c r="Q75" t="s">
        <v>57</v>
      </c>
      <c r="R75" s="29" t="str">
        <f>_xlfn.CONCAT(Tabla1[[#This Row],[ABR_01]],"00",Tabla1[[#This Row],[ABR_02]],Tabla1[[#This Row],[ZONA2]],,"0",Tabla1[[#This Row],[PARADA2]])</f>
        <v>AR00SA1002</v>
      </c>
      <c r="S75" s="37" t="s">
        <v>36</v>
      </c>
      <c r="T75" s="37" t="s">
        <v>36</v>
      </c>
      <c r="U75" s="10" t="s">
        <v>88</v>
      </c>
    </row>
    <row r="76" spans="2:21" x14ac:dyDescent="0.2">
      <c r="B76" s="19" t="s">
        <v>40</v>
      </c>
      <c r="C76" s="8" t="s">
        <v>212</v>
      </c>
      <c r="D76" s="12" t="s">
        <v>213</v>
      </c>
      <c r="E76" s="9" t="s">
        <v>209</v>
      </c>
      <c r="F76" s="10" t="s">
        <v>88</v>
      </c>
      <c r="G76" s="69" t="s">
        <v>567</v>
      </c>
      <c r="H76" s="73" t="s">
        <v>570</v>
      </c>
      <c r="I76" s="24" t="s">
        <v>27</v>
      </c>
      <c r="J76" s="24" t="s">
        <v>210</v>
      </c>
      <c r="K76" s="25" t="s">
        <v>29</v>
      </c>
      <c r="L76" s="25" t="s">
        <v>48</v>
      </c>
      <c r="M76" s="15" t="s">
        <v>31</v>
      </c>
      <c r="N76" s="16" t="str">
        <f>Tabla1[[#This Row],[ABR_02]]</f>
        <v>SA</v>
      </c>
      <c r="O76" t="s">
        <v>32</v>
      </c>
      <c r="P76" t="s">
        <v>33</v>
      </c>
      <c r="Q76" t="s">
        <v>57</v>
      </c>
      <c r="R76" s="29" t="str">
        <f>_xlfn.CONCAT(Tabla1[[#This Row],[ABR_01]],"00",Tabla1[[#This Row],[ABR_02]],Tabla1[[#This Row],[ZONA2]],,"0",Tabla1[[#This Row],[PARADA2]])</f>
        <v>AR00SA1003</v>
      </c>
      <c r="S76" s="37" t="s">
        <v>36</v>
      </c>
      <c r="T76" s="37" t="s">
        <v>36</v>
      </c>
      <c r="U76" s="10" t="s">
        <v>88</v>
      </c>
    </row>
    <row r="77" spans="2:21" x14ac:dyDescent="0.2">
      <c r="B77" s="19" t="s">
        <v>40</v>
      </c>
      <c r="C77" s="8" t="s">
        <v>214</v>
      </c>
      <c r="D77" s="17" t="s">
        <v>215</v>
      </c>
      <c r="E77" s="9" t="s">
        <v>216</v>
      </c>
      <c r="F77" s="10" t="s">
        <v>571</v>
      </c>
      <c r="G77" s="71" t="s">
        <v>572</v>
      </c>
      <c r="H77" s="73" t="s">
        <v>573</v>
      </c>
      <c r="I77" s="24" t="s">
        <v>27</v>
      </c>
      <c r="J77" s="24" t="s">
        <v>217</v>
      </c>
      <c r="K77" s="25" t="s">
        <v>29</v>
      </c>
      <c r="L77" s="25" t="s">
        <v>30</v>
      </c>
      <c r="M77" s="15" t="s">
        <v>31</v>
      </c>
      <c r="N77" s="16" t="str">
        <f>Tabla1[[#This Row],[ABR_02]]</f>
        <v>RN</v>
      </c>
      <c r="O77" t="s">
        <v>32</v>
      </c>
      <c r="P77" t="s">
        <v>33</v>
      </c>
      <c r="Q77" t="s">
        <v>32</v>
      </c>
      <c r="R77" s="29" t="str">
        <f>_xlfn.CONCAT(Tabla1[[#This Row],[ABR_01]],"00",Tabla1[[#This Row],[ABR_02]],Tabla1[[#This Row],[ZONA2]],,"0",Tabla1[[#This Row],[PARADA2]])</f>
        <v>AR00RN1001</v>
      </c>
      <c r="S77" s="37" t="s">
        <v>36</v>
      </c>
      <c r="T77" s="37" t="s">
        <v>36</v>
      </c>
      <c r="U77" s="10" t="s">
        <v>571</v>
      </c>
    </row>
    <row r="78" spans="2:21" x14ac:dyDescent="0.2">
      <c r="B78" s="19" t="s">
        <v>40</v>
      </c>
      <c r="C78" s="8" t="s">
        <v>218</v>
      </c>
      <c r="D78" s="12" t="s">
        <v>219</v>
      </c>
      <c r="E78" s="9" t="s">
        <v>216</v>
      </c>
      <c r="F78" s="10" t="s">
        <v>43</v>
      </c>
      <c r="G78" s="71" t="s">
        <v>572</v>
      </c>
      <c r="H78" s="73" t="s">
        <v>574</v>
      </c>
      <c r="I78" s="24" t="s">
        <v>27</v>
      </c>
      <c r="J78" s="24" t="s">
        <v>217</v>
      </c>
      <c r="K78" s="25" t="s">
        <v>29</v>
      </c>
      <c r="L78" s="25" t="s">
        <v>46</v>
      </c>
      <c r="M78" s="15" t="s">
        <v>31</v>
      </c>
      <c r="N78" s="16" t="str">
        <f>Tabla1[[#This Row],[ABR_02]]</f>
        <v>RN</v>
      </c>
      <c r="O78" t="s">
        <v>32</v>
      </c>
      <c r="P78" t="s">
        <v>33</v>
      </c>
      <c r="Q78" t="s">
        <v>32</v>
      </c>
      <c r="R78" s="29" t="str">
        <f>_xlfn.CONCAT(Tabla1[[#This Row],[ABR_01]],"00",Tabla1[[#This Row],[ABR_02]],Tabla1[[#This Row],[ZONA2]],,"0",Tabla1[[#This Row],[PARADA2]])</f>
        <v>AR00RN1002</v>
      </c>
      <c r="S78" s="37" t="s">
        <v>36</v>
      </c>
      <c r="T78" s="37" t="s">
        <v>36</v>
      </c>
      <c r="U78" s="10" t="s">
        <v>43</v>
      </c>
    </row>
    <row r="79" spans="2:21" x14ac:dyDescent="0.2">
      <c r="B79" s="19" t="s">
        <v>40</v>
      </c>
      <c r="C79" s="8" t="s">
        <v>220</v>
      </c>
      <c r="D79" s="12" t="s">
        <v>221</v>
      </c>
      <c r="E79" s="9" t="s">
        <v>216</v>
      </c>
      <c r="F79" s="10" t="s">
        <v>43</v>
      </c>
      <c r="G79" s="71" t="s">
        <v>572</v>
      </c>
      <c r="H79" s="73" t="s">
        <v>575</v>
      </c>
      <c r="I79" s="24" t="s">
        <v>27</v>
      </c>
      <c r="J79" s="24" t="s">
        <v>217</v>
      </c>
      <c r="K79" s="25" t="s">
        <v>29</v>
      </c>
      <c r="L79" s="25" t="s">
        <v>48</v>
      </c>
      <c r="M79" s="15" t="s">
        <v>31</v>
      </c>
      <c r="N79" s="16" t="str">
        <f>Tabla1[[#This Row],[ABR_02]]</f>
        <v>RN</v>
      </c>
      <c r="O79" t="s">
        <v>32</v>
      </c>
      <c r="P79" t="s">
        <v>33</v>
      </c>
      <c r="Q79" t="s">
        <v>32</v>
      </c>
      <c r="R79" s="29" t="str">
        <f>_xlfn.CONCAT(Tabla1[[#This Row],[ABR_01]],"00",Tabla1[[#This Row],[ABR_02]],Tabla1[[#This Row],[ZONA2]],,"0",Tabla1[[#This Row],[PARADA2]])</f>
        <v>AR00RN1003</v>
      </c>
      <c r="S79" s="37" t="s">
        <v>36</v>
      </c>
      <c r="T79" s="37" t="s">
        <v>36</v>
      </c>
      <c r="U79" s="10" t="s">
        <v>43</v>
      </c>
    </row>
    <row r="80" spans="2:21" x14ac:dyDescent="0.2">
      <c r="B80" s="19" t="s">
        <v>40</v>
      </c>
      <c r="C80" s="8" t="s">
        <v>222</v>
      </c>
      <c r="D80" s="12" t="s">
        <v>223</v>
      </c>
      <c r="E80" s="9" t="s">
        <v>216</v>
      </c>
      <c r="F80" s="10" t="s">
        <v>43</v>
      </c>
      <c r="G80" s="71" t="s">
        <v>572</v>
      </c>
      <c r="H80" s="73" t="s">
        <v>576</v>
      </c>
      <c r="I80" s="24" t="s">
        <v>27</v>
      </c>
      <c r="J80" s="24" t="s">
        <v>217</v>
      </c>
      <c r="K80" s="25" t="s">
        <v>29</v>
      </c>
      <c r="L80" s="25" t="s">
        <v>51</v>
      </c>
      <c r="M80" s="15" t="s">
        <v>31</v>
      </c>
      <c r="N80" s="16" t="str">
        <f>Tabla1[[#This Row],[ABR_02]]</f>
        <v>RN</v>
      </c>
      <c r="O80" t="s">
        <v>32</v>
      </c>
      <c r="P80" t="s">
        <v>33</v>
      </c>
      <c r="Q80" t="s">
        <v>32</v>
      </c>
      <c r="R80" s="29" t="str">
        <f>_xlfn.CONCAT(Tabla1[[#This Row],[ABR_01]],"00",Tabla1[[#This Row],[ABR_02]],Tabla1[[#This Row],[ZONA2]],,"0",Tabla1[[#This Row],[PARADA2]])</f>
        <v>AR00RN1004</v>
      </c>
      <c r="S80" s="37" t="s">
        <v>36</v>
      </c>
      <c r="T80" s="37" t="s">
        <v>36</v>
      </c>
      <c r="U80" s="10" t="s">
        <v>43</v>
      </c>
    </row>
    <row r="81" spans="2:21" x14ac:dyDescent="0.2">
      <c r="B81" s="19" t="s">
        <v>40</v>
      </c>
      <c r="C81" s="8" t="s">
        <v>224</v>
      </c>
      <c r="D81" s="17" t="s">
        <v>224</v>
      </c>
      <c r="E81" s="9" t="s">
        <v>216</v>
      </c>
      <c r="F81" s="10" t="s">
        <v>43</v>
      </c>
      <c r="G81" s="71" t="s">
        <v>572</v>
      </c>
      <c r="H81" s="73" t="s">
        <v>577</v>
      </c>
      <c r="I81" s="24" t="s">
        <v>27</v>
      </c>
      <c r="J81" s="24" t="s">
        <v>217</v>
      </c>
      <c r="K81" s="25" t="s">
        <v>29</v>
      </c>
      <c r="L81" s="25" t="s">
        <v>65</v>
      </c>
      <c r="M81" s="15" t="s">
        <v>31</v>
      </c>
      <c r="N81" s="16" t="str">
        <f>Tabla1[[#This Row],[ABR_02]]</f>
        <v>RN</v>
      </c>
      <c r="O81" t="s">
        <v>32</v>
      </c>
      <c r="P81" t="s">
        <v>33</v>
      </c>
      <c r="Q81" t="s">
        <v>32</v>
      </c>
      <c r="R81" s="29" t="str">
        <f>_xlfn.CONCAT(Tabla1[[#This Row],[ABR_01]],"00",Tabla1[[#This Row],[ABR_02]],Tabla1[[#This Row],[ZONA2]],,"0",Tabla1[[#This Row],[PARADA2]])</f>
        <v>AR00RN1005</v>
      </c>
      <c r="S81" s="37" t="s">
        <v>36</v>
      </c>
      <c r="T81" s="37" t="s">
        <v>36</v>
      </c>
      <c r="U81" s="10" t="s">
        <v>43</v>
      </c>
    </row>
    <row r="82" spans="2:21" x14ac:dyDescent="0.2">
      <c r="B82" s="19" t="s">
        <v>40</v>
      </c>
      <c r="C82" s="8" t="s">
        <v>225</v>
      </c>
      <c r="D82" s="12" t="s">
        <v>226</v>
      </c>
      <c r="E82" s="9" t="s">
        <v>216</v>
      </c>
      <c r="F82" s="10" t="s">
        <v>43</v>
      </c>
      <c r="G82" s="71" t="s">
        <v>572</v>
      </c>
      <c r="H82" s="73" t="s">
        <v>578</v>
      </c>
      <c r="I82" s="24" t="s">
        <v>27</v>
      </c>
      <c r="J82" s="24" t="s">
        <v>217</v>
      </c>
      <c r="K82" s="25" t="s">
        <v>29</v>
      </c>
      <c r="L82" s="25" t="s">
        <v>67</v>
      </c>
      <c r="M82" s="15" t="s">
        <v>31</v>
      </c>
      <c r="N82" s="16" t="str">
        <f>Tabla1[[#This Row],[ABR_02]]</f>
        <v>RN</v>
      </c>
      <c r="O82" t="s">
        <v>32</v>
      </c>
      <c r="P82" t="s">
        <v>33</v>
      </c>
      <c r="Q82" t="s">
        <v>32</v>
      </c>
      <c r="R82" s="29" t="str">
        <f>_xlfn.CONCAT(Tabla1[[#This Row],[ABR_01]],"00",Tabla1[[#This Row],[ABR_02]],Tabla1[[#This Row],[ZONA2]],,"0",Tabla1[[#This Row],[PARADA2]])</f>
        <v>AR00RN1006</v>
      </c>
      <c r="S82" s="37" t="s">
        <v>36</v>
      </c>
      <c r="T82" s="37" t="s">
        <v>36</v>
      </c>
      <c r="U82" s="10" t="s">
        <v>43</v>
      </c>
    </row>
    <row r="83" spans="2:21" x14ac:dyDescent="0.2">
      <c r="B83" s="19" t="s">
        <v>40</v>
      </c>
      <c r="C83" s="8" t="s">
        <v>227</v>
      </c>
      <c r="D83" s="12" t="s">
        <v>228</v>
      </c>
      <c r="E83" s="9" t="s">
        <v>216</v>
      </c>
      <c r="F83" s="10" t="s">
        <v>43</v>
      </c>
      <c r="G83" s="71" t="s">
        <v>572</v>
      </c>
      <c r="H83" s="73" t="s">
        <v>579</v>
      </c>
      <c r="I83" s="24" t="s">
        <v>27</v>
      </c>
      <c r="J83" s="24" t="s">
        <v>217</v>
      </c>
      <c r="K83" s="25" t="s">
        <v>29</v>
      </c>
      <c r="L83" s="25" t="s">
        <v>70</v>
      </c>
      <c r="M83" s="15" t="s">
        <v>31</v>
      </c>
      <c r="N83" s="16" t="str">
        <f>Tabla1[[#This Row],[ABR_02]]</f>
        <v>RN</v>
      </c>
      <c r="O83" t="s">
        <v>32</v>
      </c>
      <c r="P83" t="s">
        <v>33</v>
      </c>
      <c r="Q83" t="s">
        <v>32</v>
      </c>
      <c r="R83" s="29" t="str">
        <f>_xlfn.CONCAT(Tabla1[[#This Row],[ABR_01]],"00",Tabla1[[#This Row],[ABR_02]],Tabla1[[#This Row],[ZONA2]],,"0",Tabla1[[#This Row],[PARADA2]])</f>
        <v>AR00RN1007</v>
      </c>
      <c r="S83" s="37" t="s">
        <v>36</v>
      </c>
      <c r="T83" s="37" t="s">
        <v>36</v>
      </c>
      <c r="U83" s="10" t="s">
        <v>43</v>
      </c>
    </row>
    <row r="84" spans="2:21" x14ac:dyDescent="0.2">
      <c r="B84" s="19" t="s">
        <v>40</v>
      </c>
      <c r="C84" s="8" t="s">
        <v>229</v>
      </c>
      <c r="D84" s="17" t="s">
        <v>229</v>
      </c>
      <c r="E84" s="9" t="s">
        <v>216</v>
      </c>
      <c r="F84" s="10" t="s">
        <v>43</v>
      </c>
      <c r="G84" s="71" t="s">
        <v>572</v>
      </c>
      <c r="H84" s="73" t="s">
        <v>580</v>
      </c>
      <c r="I84" s="24" t="s">
        <v>27</v>
      </c>
      <c r="J84" s="24" t="s">
        <v>217</v>
      </c>
      <c r="K84" s="25" t="s">
        <v>29</v>
      </c>
      <c r="L84" s="25" t="s">
        <v>73</v>
      </c>
      <c r="M84" s="15" t="s">
        <v>31</v>
      </c>
      <c r="N84" s="16" t="str">
        <f>Tabla1[[#This Row],[ABR_02]]</f>
        <v>RN</v>
      </c>
      <c r="O84" t="s">
        <v>32</v>
      </c>
      <c r="P84" t="s">
        <v>33</v>
      </c>
      <c r="Q84" t="s">
        <v>32</v>
      </c>
      <c r="R84" s="29" t="str">
        <f>_xlfn.CONCAT(Tabla1[[#This Row],[ABR_01]],"00",Tabla1[[#This Row],[ABR_02]],Tabla1[[#This Row],[ZONA2]],,"0",Tabla1[[#This Row],[PARADA2]])</f>
        <v>AR00RN1008</v>
      </c>
      <c r="S84" s="37" t="s">
        <v>36</v>
      </c>
      <c r="T84" s="37" t="s">
        <v>36</v>
      </c>
      <c r="U84" s="10" t="s">
        <v>43</v>
      </c>
    </row>
    <row r="85" spans="2:21" x14ac:dyDescent="0.2">
      <c r="B85" s="19" t="s">
        <v>40</v>
      </c>
      <c r="C85" s="8" t="s">
        <v>230</v>
      </c>
      <c r="D85" s="12" t="s">
        <v>231</v>
      </c>
      <c r="E85" s="9" t="s">
        <v>232</v>
      </c>
      <c r="F85" s="10" t="s">
        <v>77</v>
      </c>
      <c r="G85" s="69" t="s">
        <v>581</v>
      </c>
      <c r="H85" s="73" t="s">
        <v>582</v>
      </c>
      <c r="I85" s="24" t="s">
        <v>27</v>
      </c>
      <c r="J85" s="24" t="s">
        <v>233</v>
      </c>
      <c r="K85" s="25" t="s">
        <v>29</v>
      </c>
      <c r="L85" s="25" t="s">
        <v>30</v>
      </c>
      <c r="M85" s="15" t="s">
        <v>31</v>
      </c>
      <c r="N85" s="16" t="str">
        <f>Tabla1[[#This Row],[ABR_02]]</f>
        <v>MI</v>
      </c>
      <c r="O85" t="s">
        <v>32</v>
      </c>
      <c r="P85" t="s">
        <v>33</v>
      </c>
      <c r="Q85" t="s">
        <v>57</v>
      </c>
      <c r="R85" s="29" t="str">
        <f>_xlfn.CONCAT(Tabla1[[#This Row],[ABR_01]],"00",Tabla1[[#This Row],[ABR_02]],Tabla1[[#This Row],[ZONA2]],,"0",Tabla1[[#This Row],[PARADA2]])</f>
        <v>AR00MI1001</v>
      </c>
      <c r="S85" s="37" t="s">
        <v>36</v>
      </c>
      <c r="T85" s="37" t="s">
        <v>36</v>
      </c>
      <c r="U85" s="10" t="s">
        <v>77</v>
      </c>
    </row>
    <row r="86" spans="2:21" x14ac:dyDescent="0.2">
      <c r="B86" s="19" t="s">
        <v>40</v>
      </c>
      <c r="C86" s="8" t="s">
        <v>234</v>
      </c>
      <c r="D86" s="17" t="s">
        <v>234</v>
      </c>
      <c r="E86" s="9" t="s">
        <v>232</v>
      </c>
      <c r="F86" s="10" t="s">
        <v>77</v>
      </c>
      <c r="G86" s="69" t="s">
        <v>581</v>
      </c>
      <c r="H86" s="73" t="s">
        <v>583</v>
      </c>
      <c r="I86" s="24" t="s">
        <v>27</v>
      </c>
      <c r="J86" s="24" t="s">
        <v>233</v>
      </c>
      <c r="K86" s="25" t="s">
        <v>29</v>
      </c>
      <c r="L86" s="25" t="s">
        <v>46</v>
      </c>
      <c r="M86" s="15" t="s">
        <v>31</v>
      </c>
      <c r="N86" s="16" t="str">
        <f>Tabla1[[#This Row],[ABR_02]]</f>
        <v>MI</v>
      </c>
      <c r="O86" t="s">
        <v>32</v>
      </c>
      <c r="P86" t="s">
        <v>33</v>
      </c>
      <c r="Q86" t="s">
        <v>57</v>
      </c>
      <c r="R86" s="29" t="str">
        <f>_xlfn.CONCAT(Tabla1[[#This Row],[ABR_01]],"00",Tabla1[[#This Row],[ABR_02]],Tabla1[[#This Row],[ZONA2]],,"0",Tabla1[[#This Row],[PARADA2]])</f>
        <v>AR00MI1002</v>
      </c>
      <c r="S86" s="37" t="s">
        <v>36</v>
      </c>
      <c r="T86" s="37" t="s">
        <v>36</v>
      </c>
      <c r="U86" s="10" t="s">
        <v>77</v>
      </c>
    </row>
    <row r="87" spans="2:21" x14ac:dyDescent="0.2">
      <c r="B87" s="19" t="s">
        <v>40</v>
      </c>
      <c r="C87" s="8" t="s">
        <v>235</v>
      </c>
      <c r="D87" s="17" t="s">
        <v>235</v>
      </c>
      <c r="E87" s="9" t="s">
        <v>232</v>
      </c>
      <c r="F87" s="10" t="s">
        <v>77</v>
      </c>
      <c r="G87" s="69" t="s">
        <v>581</v>
      </c>
      <c r="H87" s="73" t="s">
        <v>584</v>
      </c>
      <c r="I87" s="24" t="s">
        <v>27</v>
      </c>
      <c r="J87" s="24" t="s">
        <v>233</v>
      </c>
      <c r="K87" s="25" t="s">
        <v>29</v>
      </c>
      <c r="L87" s="25" t="s">
        <v>48</v>
      </c>
      <c r="M87" s="15" t="s">
        <v>31</v>
      </c>
      <c r="N87" s="16" t="str">
        <f>Tabla1[[#This Row],[ABR_02]]</f>
        <v>MI</v>
      </c>
      <c r="O87" t="s">
        <v>32</v>
      </c>
      <c r="P87" t="s">
        <v>33</v>
      </c>
      <c r="Q87" t="s">
        <v>57</v>
      </c>
      <c r="R87" s="29" t="str">
        <f>_xlfn.CONCAT(Tabla1[[#This Row],[ABR_01]],"00",Tabla1[[#This Row],[ABR_02]],Tabla1[[#This Row],[ZONA2]],,"0",Tabla1[[#This Row],[PARADA2]])</f>
        <v>AR00MI1003</v>
      </c>
      <c r="S87" s="37" t="s">
        <v>36</v>
      </c>
      <c r="T87" s="37" t="s">
        <v>36</v>
      </c>
      <c r="U87" s="10" t="s">
        <v>77</v>
      </c>
    </row>
    <row r="88" spans="2:21" x14ac:dyDescent="0.2">
      <c r="B88" s="19" t="s">
        <v>40</v>
      </c>
      <c r="C88" s="8" t="s">
        <v>236</v>
      </c>
      <c r="D88" s="17" t="s">
        <v>236</v>
      </c>
      <c r="E88" s="9" t="s">
        <v>232</v>
      </c>
      <c r="F88" s="10" t="s">
        <v>77</v>
      </c>
      <c r="G88" s="69" t="s">
        <v>581</v>
      </c>
      <c r="H88" s="73" t="s">
        <v>585</v>
      </c>
      <c r="I88" s="24" t="s">
        <v>27</v>
      </c>
      <c r="J88" s="24" t="s">
        <v>233</v>
      </c>
      <c r="K88" s="25" t="s">
        <v>29</v>
      </c>
      <c r="L88" s="25" t="s">
        <v>51</v>
      </c>
      <c r="M88" s="15" t="s">
        <v>31</v>
      </c>
      <c r="N88" s="16" t="str">
        <f>Tabla1[[#This Row],[ABR_02]]</f>
        <v>MI</v>
      </c>
      <c r="O88" t="s">
        <v>32</v>
      </c>
      <c r="P88" t="s">
        <v>33</v>
      </c>
      <c r="Q88" t="s">
        <v>57</v>
      </c>
      <c r="R88" s="29" t="str">
        <f>_xlfn.CONCAT(Tabla1[[#This Row],[ABR_01]],"00",Tabla1[[#This Row],[ABR_02]],Tabla1[[#This Row],[ZONA2]],,"0",Tabla1[[#This Row],[PARADA2]])</f>
        <v>AR00MI1004</v>
      </c>
      <c r="S88" s="37" t="s">
        <v>36</v>
      </c>
      <c r="T88" s="37" t="s">
        <v>36</v>
      </c>
      <c r="U88" s="10" t="s">
        <v>77</v>
      </c>
    </row>
    <row r="89" spans="2:21" x14ac:dyDescent="0.2">
      <c r="B89" s="19" t="s">
        <v>40</v>
      </c>
      <c r="C89" s="8" t="s">
        <v>237</v>
      </c>
      <c r="D89" s="12" t="s">
        <v>238</v>
      </c>
      <c r="E89" s="9" t="s">
        <v>232</v>
      </c>
      <c r="F89" s="10" t="s">
        <v>77</v>
      </c>
      <c r="G89" s="69" t="s">
        <v>581</v>
      </c>
      <c r="H89" s="73" t="s">
        <v>586</v>
      </c>
      <c r="I89" s="24" t="s">
        <v>27</v>
      </c>
      <c r="J89" s="24" t="s">
        <v>233</v>
      </c>
      <c r="K89" s="25" t="s">
        <v>29</v>
      </c>
      <c r="L89" s="25" t="s">
        <v>65</v>
      </c>
      <c r="M89" s="15" t="s">
        <v>31</v>
      </c>
      <c r="N89" s="16" t="str">
        <f>Tabla1[[#This Row],[ABR_02]]</f>
        <v>MI</v>
      </c>
      <c r="O89" t="s">
        <v>32</v>
      </c>
      <c r="P89" t="s">
        <v>33</v>
      </c>
      <c r="Q89" t="s">
        <v>57</v>
      </c>
      <c r="R89" s="29" t="str">
        <f>_xlfn.CONCAT(Tabla1[[#This Row],[ABR_01]],"00",Tabla1[[#This Row],[ABR_02]],Tabla1[[#This Row],[ZONA2]],,"0",Tabla1[[#This Row],[PARADA2]])</f>
        <v>AR00MI1005</v>
      </c>
      <c r="S89" s="37" t="s">
        <v>36</v>
      </c>
      <c r="T89" s="37" t="s">
        <v>36</v>
      </c>
      <c r="U89" s="10" t="s">
        <v>77</v>
      </c>
    </row>
    <row r="90" spans="2:21" x14ac:dyDescent="0.2">
      <c r="B90" s="19" t="s">
        <v>40</v>
      </c>
      <c r="C90" s="8" t="s">
        <v>239</v>
      </c>
      <c r="D90" s="17" t="s">
        <v>239</v>
      </c>
      <c r="E90" s="9" t="s">
        <v>232</v>
      </c>
      <c r="F90" s="10" t="s">
        <v>77</v>
      </c>
      <c r="G90" s="69" t="s">
        <v>581</v>
      </c>
      <c r="H90" s="73" t="s">
        <v>587</v>
      </c>
      <c r="I90" s="24" t="s">
        <v>27</v>
      </c>
      <c r="J90" s="24" t="s">
        <v>233</v>
      </c>
      <c r="K90" s="25" t="s">
        <v>29</v>
      </c>
      <c r="L90" s="25" t="s">
        <v>67</v>
      </c>
      <c r="M90" s="15" t="s">
        <v>31</v>
      </c>
      <c r="N90" s="16" t="str">
        <f>Tabla1[[#This Row],[ABR_02]]</f>
        <v>MI</v>
      </c>
      <c r="O90" t="s">
        <v>32</v>
      </c>
      <c r="P90" t="s">
        <v>33</v>
      </c>
      <c r="Q90" t="s">
        <v>57</v>
      </c>
      <c r="R90" s="29" t="str">
        <f>_xlfn.CONCAT(Tabla1[[#This Row],[ABR_01]],"00",Tabla1[[#This Row],[ABR_02]],Tabla1[[#This Row],[ZONA2]],,"0",Tabla1[[#This Row],[PARADA2]])</f>
        <v>AR00MI1006</v>
      </c>
      <c r="S90" s="37" t="s">
        <v>36</v>
      </c>
      <c r="T90" s="37" t="s">
        <v>36</v>
      </c>
      <c r="U90" s="10" t="s">
        <v>77</v>
      </c>
    </row>
    <row r="91" spans="2:21" x14ac:dyDescent="0.2">
      <c r="B91" s="19" t="s">
        <v>40</v>
      </c>
      <c r="C91" s="8" t="s">
        <v>240</v>
      </c>
      <c r="D91" s="17" t="s">
        <v>241</v>
      </c>
      <c r="E91" s="9" t="s">
        <v>242</v>
      </c>
      <c r="F91" s="10" t="s">
        <v>196</v>
      </c>
      <c r="G91" s="69" t="s">
        <v>588</v>
      </c>
      <c r="H91" s="73" t="s">
        <v>589</v>
      </c>
      <c r="I91" s="24" t="s">
        <v>27</v>
      </c>
      <c r="J91" s="24" t="s">
        <v>243</v>
      </c>
      <c r="K91" s="25" t="s">
        <v>29</v>
      </c>
      <c r="L91" s="25" t="s">
        <v>30</v>
      </c>
      <c r="M91" s="15" t="s">
        <v>31</v>
      </c>
      <c r="N91" s="16" t="str">
        <f>Tabla1[[#This Row],[ABR_02]]</f>
        <v>MZ</v>
      </c>
      <c r="O91" t="s">
        <v>32</v>
      </c>
      <c r="P91" t="s">
        <v>33</v>
      </c>
      <c r="Q91" t="s">
        <v>57</v>
      </c>
      <c r="R91" s="29" t="str">
        <f>_xlfn.CONCAT(Tabla1[[#This Row],[ABR_01]],"00",Tabla1[[#This Row],[ABR_02]],Tabla1[[#This Row],[ZONA2]],,"0",Tabla1[[#This Row],[PARADA2]])</f>
        <v>AR00MZ1001</v>
      </c>
      <c r="S91" s="37" t="s">
        <v>36</v>
      </c>
      <c r="T91" s="37" t="s">
        <v>36</v>
      </c>
      <c r="U91" s="10" t="s">
        <v>196</v>
      </c>
    </row>
    <row r="92" spans="2:21" x14ac:dyDescent="0.2">
      <c r="B92" s="19" t="s">
        <v>40</v>
      </c>
      <c r="C92" s="8" t="s">
        <v>244</v>
      </c>
      <c r="D92" s="12" t="s">
        <v>245</v>
      </c>
      <c r="E92" s="9" t="s">
        <v>242</v>
      </c>
      <c r="F92" s="10" t="s">
        <v>196</v>
      </c>
      <c r="G92" s="69" t="s">
        <v>588</v>
      </c>
      <c r="H92" s="73" t="s">
        <v>590</v>
      </c>
      <c r="I92" s="24" t="s">
        <v>27</v>
      </c>
      <c r="J92" s="24" t="s">
        <v>243</v>
      </c>
      <c r="K92" s="25" t="s">
        <v>29</v>
      </c>
      <c r="L92" s="25" t="s">
        <v>46</v>
      </c>
      <c r="M92" s="15" t="s">
        <v>31</v>
      </c>
      <c r="N92" s="16" t="str">
        <f>Tabla1[[#This Row],[ABR_02]]</f>
        <v>MZ</v>
      </c>
      <c r="O92" t="s">
        <v>32</v>
      </c>
      <c r="P92" t="s">
        <v>33</v>
      </c>
      <c r="Q92" t="s">
        <v>57</v>
      </c>
      <c r="R92" s="29" t="str">
        <f>_xlfn.CONCAT(Tabla1[[#This Row],[ABR_01]],"00",Tabla1[[#This Row],[ABR_02]],Tabla1[[#This Row],[ZONA2]],,"0",Tabla1[[#This Row],[PARADA2]])</f>
        <v>AR00MZ1002</v>
      </c>
      <c r="S92" s="37" t="s">
        <v>36</v>
      </c>
      <c r="T92" s="37" t="s">
        <v>36</v>
      </c>
      <c r="U92" s="10" t="s">
        <v>196</v>
      </c>
    </row>
    <row r="93" spans="2:21" x14ac:dyDescent="0.2">
      <c r="B93" s="19" t="s">
        <v>40</v>
      </c>
      <c r="C93" s="8" t="s">
        <v>246</v>
      </c>
      <c r="D93" s="17" t="s">
        <v>247</v>
      </c>
      <c r="E93" s="9" t="s">
        <v>242</v>
      </c>
      <c r="F93" s="10" t="s">
        <v>196</v>
      </c>
      <c r="G93" s="69" t="s">
        <v>588</v>
      </c>
      <c r="H93" s="73" t="s">
        <v>591</v>
      </c>
      <c r="I93" s="24" t="s">
        <v>27</v>
      </c>
      <c r="J93" s="24" t="s">
        <v>243</v>
      </c>
      <c r="K93" s="25" t="s">
        <v>29</v>
      </c>
      <c r="L93" s="25" t="s">
        <v>48</v>
      </c>
      <c r="M93" s="15" t="s">
        <v>31</v>
      </c>
      <c r="N93" s="16" t="str">
        <f>Tabla1[[#This Row],[ABR_02]]</f>
        <v>MZ</v>
      </c>
      <c r="O93" t="s">
        <v>32</v>
      </c>
      <c r="P93" t="s">
        <v>33</v>
      </c>
      <c r="Q93" t="s">
        <v>57</v>
      </c>
      <c r="R93" s="29" t="str">
        <f>_xlfn.CONCAT(Tabla1[[#This Row],[ABR_01]],"00",Tabla1[[#This Row],[ABR_02]],Tabla1[[#This Row],[ZONA2]],,"0",Tabla1[[#This Row],[PARADA2]])</f>
        <v>AR00MZ1003</v>
      </c>
      <c r="S93" s="37" t="s">
        <v>36</v>
      </c>
      <c r="T93" s="37" t="s">
        <v>36</v>
      </c>
      <c r="U93" s="10" t="s">
        <v>196</v>
      </c>
    </row>
    <row r="94" spans="2:21" x14ac:dyDescent="0.2">
      <c r="B94" s="19" t="s">
        <v>40</v>
      </c>
      <c r="C94" s="8" t="s">
        <v>248</v>
      </c>
      <c r="D94" s="17" t="s">
        <v>248</v>
      </c>
      <c r="E94" s="9" t="s">
        <v>242</v>
      </c>
      <c r="F94" s="10" t="s">
        <v>196</v>
      </c>
      <c r="G94" s="69" t="s">
        <v>588</v>
      </c>
      <c r="H94" s="73" t="s">
        <v>592</v>
      </c>
      <c r="I94" s="24" t="s">
        <v>27</v>
      </c>
      <c r="J94" s="24" t="s">
        <v>243</v>
      </c>
      <c r="K94" s="25" t="s">
        <v>29</v>
      </c>
      <c r="L94" s="25" t="s">
        <v>51</v>
      </c>
      <c r="M94" s="15" t="s">
        <v>31</v>
      </c>
      <c r="N94" s="16" t="str">
        <f>Tabla1[[#This Row],[ABR_02]]</f>
        <v>MZ</v>
      </c>
      <c r="O94" t="s">
        <v>32</v>
      </c>
      <c r="P94" t="s">
        <v>33</v>
      </c>
      <c r="Q94" t="s">
        <v>57</v>
      </c>
      <c r="R94" s="29" t="str">
        <f>_xlfn.CONCAT(Tabla1[[#This Row],[ABR_01]],"00",Tabla1[[#This Row],[ABR_02]],Tabla1[[#This Row],[ZONA2]],,"0",Tabla1[[#This Row],[PARADA2]])</f>
        <v>AR00MZ1004</v>
      </c>
      <c r="S94" s="37" t="s">
        <v>36</v>
      </c>
      <c r="T94" s="37" t="s">
        <v>36</v>
      </c>
      <c r="U94" s="10" t="s">
        <v>196</v>
      </c>
    </row>
    <row r="95" spans="2:21" x14ac:dyDescent="0.2">
      <c r="B95" s="19" t="s">
        <v>40</v>
      </c>
      <c r="C95" s="8" t="s">
        <v>249</v>
      </c>
      <c r="D95" s="12" t="s">
        <v>250</v>
      </c>
      <c r="E95" s="9" t="s">
        <v>242</v>
      </c>
      <c r="F95" s="10" t="s">
        <v>196</v>
      </c>
      <c r="G95" s="69" t="s">
        <v>588</v>
      </c>
      <c r="H95" s="73" t="s">
        <v>593</v>
      </c>
      <c r="I95" s="24" t="s">
        <v>27</v>
      </c>
      <c r="J95" s="24" t="s">
        <v>243</v>
      </c>
      <c r="K95" s="25" t="s">
        <v>29</v>
      </c>
      <c r="L95" s="25" t="s">
        <v>65</v>
      </c>
      <c r="M95" s="15" t="s">
        <v>31</v>
      </c>
      <c r="N95" s="16" t="str">
        <f>Tabla1[[#This Row],[ABR_02]]</f>
        <v>MZ</v>
      </c>
      <c r="O95" t="s">
        <v>32</v>
      </c>
      <c r="P95" t="s">
        <v>33</v>
      </c>
      <c r="Q95" t="s">
        <v>57</v>
      </c>
      <c r="R95" s="29" t="str">
        <f>_xlfn.CONCAT(Tabla1[[#This Row],[ABR_01]],"00",Tabla1[[#This Row],[ABR_02]],Tabla1[[#This Row],[ZONA2]],,"0",Tabla1[[#This Row],[PARADA2]])</f>
        <v>AR00MZ1005</v>
      </c>
      <c r="S95" s="37" t="s">
        <v>36</v>
      </c>
      <c r="T95" s="37" t="s">
        <v>36</v>
      </c>
      <c r="U95" s="10" t="s">
        <v>196</v>
      </c>
    </row>
    <row r="96" spans="2:21" x14ac:dyDescent="0.2">
      <c r="B96" s="19" t="s">
        <v>40</v>
      </c>
      <c r="C96" s="8" t="s">
        <v>251</v>
      </c>
      <c r="D96" s="17" t="s">
        <v>252</v>
      </c>
      <c r="E96" s="9" t="s">
        <v>242</v>
      </c>
      <c r="F96" s="10" t="s">
        <v>196</v>
      </c>
      <c r="G96" s="69" t="s">
        <v>588</v>
      </c>
      <c r="H96" s="73" t="s">
        <v>594</v>
      </c>
      <c r="I96" s="24" t="s">
        <v>27</v>
      </c>
      <c r="J96" s="24" t="s">
        <v>243</v>
      </c>
      <c r="K96" s="25" t="s">
        <v>29</v>
      </c>
      <c r="L96" s="25" t="s">
        <v>67</v>
      </c>
      <c r="M96" s="15" t="s">
        <v>31</v>
      </c>
      <c r="N96" s="16" t="str">
        <f>Tabla1[[#This Row],[ABR_02]]</f>
        <v>MZ</v>
      </c>
      <c r="O96" t="s">
        <v>32</v>
      </c>
      <c r="P96" t="s">
        <v>33</v>
      </c>
      <c r="Q96" t="s">
        <v>57</v>
      </c>
      <c r="R96" s="29" t="str">
        <f>_xlfn.CONCAT(Tabla1[[#This Row],[ABR_01]],"00",Tabla1[[#This Row],[ABR_02]],Tabla1[[#This Row],[ZONA2]],,"0",Tabla1[[#This Row],[PARADA2]])</f>
        <v>AR00MZ1006</v>
      </c>
      <c r="S96" s="37" t="s">
        <v>36</v>
      </c>
      <c r="T96" s="37" t="s">
        <v>36</v>
      </c>
      <c r="U96" s="10" t="s">
        <v>196</v>
      </c>
    </row>
    <row r="97" spans="2:21" x14ac:dyDescent="0.2">
      <c r="B97" s="19" t="s">
        <v>40</v>
      </c>
      <c r="C97" s="8" t="s">
        <v>253</v>
      </c>
      <c r="D97" s="12" t="s">
        <v>254</v>
      </c>
      <c r="E97" s="9" t="s">
        <v>242</v>
      </c>
      <c r="F97" s="10" t="s">
        <v>196</v>
      </c>
      <c r="G97" s="69" t="s">
        <v>588</v>
      </c>
      <c r="H97" s="73" t="s">
        <v>595</v>
      </c>
      <c r="I97" s="24" t="s">
        <v>27</v>
      </c>
      <c r="J97" s="24" t="s">
        <v>243</v>
      </c>
      <c r="K97" s="25" t="s">
        <v>29</v>
      </c>
      <c r="L97" s="25" t="s">
        <v>70</v>
      </c>
      <c r="M97" s="15" t="s">
        <v>31</v>
      </c>
      <c r="N97" s="16" t="str">
        <f>Tabla1[[#This Row],[ABR_02]]</f>
        <v>MZ</v>
      </c>
      <c r="O97" t="s">
        <v>32</v>
      </c>
      <c r="P97" t="s">
        <v>33</v>
      </c>
      <c r="Q97" t="s">
        <v>57</v>
      </c>
      <c r="R97" s="29" t="str">
        <f>_xlfn.CONCAT(Tabla1[[#This Row],[ABR_01]],"00",Tabla1[[#This Row],[ABR_02]],Tabla1[[#This Row],[ZONA2]],,"0",Tabla1[[#This Row],[PARADA2]])</f>
        <v>AR00MZ1007</v>
      </c>
      <c r="S97" s="37" t="s">
        <v>36</v>
      </c>
      <c r="T97" s="37" t="s">
        <v>36</v>
      </c>
      <c r="U97" s="10" t="s">
        <v>196</v>
      </c>
    </row>
    <row r="98" spans="2:21" x14ac:dyDescent="0.2">
      <c r="B98" s="19" t="s">
        <v>40</v>
      </c>
      <c r="C98" s="8" t="s">
        <v>255</v>
      </c>
      <c r="D98" s="17" t="s">
        <v>256</v>
      </c>
      <c r="E98" s="9" t="s">
        <v>242</v>
      </c>
      <c r="F98" s="10" t="s">
        <v>196</v>
      </c>
      <c r="G98" s="69" t="s">
        <v>588</v>
      </c>
      <c r="H98" s="73" t="s">
        <v>596</v>
      </c>
      <c r="I98" s="24" t="s">
        <v>27</v>
      </c>
      <c r="J98" s="24" t="s">
        <v>243</v>
      </c>
      <c r="K98" s="25" t="s">
        <v>29</v>
      </c>
      <c r="L98" s="25" t="s">
        <v>73</v>
      </c>
      <c r="M98" s="15" t="s">
        <v>31</v>
      </c>
      <c r="N98" s="16" t="str">
        <f>Tabla1[[#This Row],[ABR_02]]</f>
        <v>MZ</v>
      </c>
      <c r="O98" t="s">
        <v>32</v>
      </c>
      <c r="P98" t="s">
        <v>33</v>
      </c>
      <c r="Q98" t="s">
        <v>57</v>
      </c>
      <c r="R98" s="29" t="str">
        <f>_xlfn.CONCAT(Tabla1[[#This Row],[ABR_01]],"00",Tabla1[[#This Row],[ABR_02]],Tabla1[[#This Row],[ZONA2]],,"0",Tabla1[[#This Row],[PARADA2]])</f>
        <v>AR00MZ1008</v>
      </c>
      <c r="S98" s="37" t="s">
        <v>36</v>
      </c>
      <c r="T98" s="37" t="s">
        <v>36</v>
      </c>
      <c r="U98" s="10" t="s">
        <v>196</v>
      </c>
    </row>
    <row r="99" spans="2:21" x14ac:dyDescent="0.2">
      <c r="B99" s="19" t="s">
        <v>40</v>
      </c>
      <c r="C99" s="8" t="s">
        <v>257</v>
      </c>
      <c r="D99" s="17" t="s">
        <v>257</v>
      </c>
      <c r="E99" s="9" t="s">
        <v>242</v>
      </c>
      <c r="F99" s="10" t="s">
        <v>196</v>
      </c>
      <c r="G99" s="69" t="s">
        <v>588</v>
      </c>
      <c r="H99" s="73" t="s">
        <v>597</v>
      </c>
      <c r="I99" s="24" t="s">
        <v>27</v>
      </c>
      <c r="J99" s="24" t="s">
        <v>243</v>
      </c>
      <c r="K99" s="25" t="s">
        <v>29</v>
      </c>
      <c r="L99" s="25" t="s">
        <v>125</v>
      </c>
      <c r="M99" s="15" t="s">
        <v>31</v>
      </c>
      <c r="N99" s="16" t="str">
        <f>Tabla1[[#This Row],[ABR_02]]</f>
        <v>MZ</v>
      </c>
      <c r="O99" t="s">
        <v>32</v>
      </c>
      <c r="P99" t="s">
        <v>33</v>
      </c>
      <c r="Q99" t="s">
        <v>57</v>
      </c>
      <c r="R99" s="29" t="str">
        <f>_xlfn.CONCAT(Tabla1[[#This Row],[ABR_01]],"00",Tabla1[[#This Row],[ABR_02]],Tabla1[[#This Row],[ZONA2]],,"0",Tabla1[[#This Row],[PARADA2]])</f>
        <v>AR00MZ1009</v>
      </c>
      <c r="S99" s="37" t="s">
        <v>36</v>
      </c>
      <c r="T99" s="37" t="s">
        <v>36</v>
      </c>
      <c r="U99" s="10" t="s">
        <v>196</v>
      </c>
    </row>
    <row r="100" spans="2:21" x14ac:dyDescent="0.2">
      <c r="B100" s="19" t="s">
        <v>40</v>
      </c>
      <c r="C100" s="8" t="s">
        <v>258</v>
      </c>
      <c r="D100" s="12" t="s">
        <v>259</v>
      </c>
      <c r="E100" s="9" t="s">
        <v>242</v>
      </c>
      <c r="F100" s="10" t="s">
        <v>196</v>
      </c>
      <c r="G100" s="69" t="s">
        <v>588</v>
      </c>
      <c r="H100" s="73" t="s">
        <v>588</v>
      </c>
      <c r="I100" s="24" t="s">
        <v>27</v>
      </c>
      <c r="J100" s="24" t="s">
        <v>243</v>
      </c>
      <c r="K100" s="25" t="s">
        <v>29</v>
      </c>
      <c r="L100" s="25" t="s">
        <v>128</v>
      </c>
      <c r="M100" s="15" t="s">
        <v>31</v>
      </c>
      <c r="N100" s="16" t="str">
        <f>Tabla1[[#This Row],[ABR_02]]</f>
        <v>MZ</v>
      </c>
      <c r="O100" t="s">
        <v>32</v>
      </c>
      <c r="P100" t="s">
        <v>33</v>
      </c>
      <c r="Q100" t="s">
        <v>57</v>
      </c>
      <c r="R100" s="29" t="str">
        <f>_xlfn.CONCAT(Tabla1[[#This Row],[ABR_01]],"00",Tabla1[[#This Row],[ABR_02]],Tabla1[[#This Row],[ZONA2]],,"0",Tabla1[[#This Row],[PARADA2]])</f>
        <v>AR00MZ1010</v>
      </c>
      <c r="S100" s="37" t="s">
        <v>36</v>
      </c>
      <c r="T100" s="37" t="s">
        <v>36</v>
      </c>
      <c r="U100" s="10" t="s">
        <v>196</v>
      </c>
    </row>
    <row r="101" spans="2:21" x14ac:dyDescent="0.2">
      <c r="B101" s="19" t="s">
        <v>40</v>
      </c>
      <c r="C101" s="8" t="s">
        <v>260</v>
      </c>
      <c r="D101" s="12" t="s">
        <v>236</v>
      </c>
      <c r="E101" s="9" t="s">
        <v>242</v>
      </c>
      <c r="F101" s="10" t="s">
        <v>196</v>
      </c>
      <c r="G101" s="69" t="s">
        <v>588</v>
      </c>
      <c r="H101" s="73" t="s">
        <v>598</v>
      </c>
      <c r="I101" s="24" t="s">
        <v>27</v>
      </c>
      <c r="J101" s="24" t="s">
        <v>243</v>
      </c>
      <c r="K101" s="25" t="s">
        <v>29</v>
      </c>
      <c r="L101" s="25" t="s">
        <v>130</v>
      </c>
      <c r="M101" s="15" t="s">
        <v>31</v>
      </c>
      <c r="N101" s="16" t="str">
        <f>Tabla1[[#This Row],[ABR_02]]</f>
        <v>MZ</v>
      </c>
      <c r="O101" t="s">
        <v>32</v>
      </c>
      <c r="P101" t="s">
        <v>33</v>
      </c>
      <c r="Q101" t="s">
        <v>57</v>
      </c>
      <c r="R101" s="29" t="str">
        <f>_xlfn.CONCAT(Tabla1[[#This Row],[ABR_01]],"00",Tabla1[[#This Row],[ABR_02]],Tabla1[[#This Row],[ZONA2]],,"0",Tabla1[[#This Row],[PARADA2]])</f>
        <v>AR00MZ1011</v>
      </c>
      <c r="S101" s="37" t="s">
        <v>36</v>
      </c>
      <c r="T101" s="37" t="s">
        <v>36</v>
      </c>
      <c r="U101" s="10" t="s">
        <v>196</v>
      </c>
    </row>
    <row r="102" spans="2:21" x14ac:dyDescent="0.2">
      <c r="B102" s="19" t="s">
        <v>40</v>
      </c>
      <c r="C102" s="8" t="s">
        <v>261</v>
      </c>
      <c r="D102" s="17" t="s">
        <v>261</v>
      </c>
      <c r="E102" s="9" t="s">
        <v>242</v>
      </c>
      <c r="F102" s="10" t="s">
        <v>196</v>
      </c>
      <c r="G102" s="69" t="s">
        <v>588</v>
      </c>
      <c r="H102" s="73" t="s">
        <v>599</v>
      </c>
      <c r="I102" s="24" t="s">
        <v>27</v>
      </c>
      <c r="J102" s="24" t="s">
        <v>243</v>
      </c>
      <c r="K102" s="25" t="s">
        <v>29</v>
      </c>
      <c r="L102" s="25" t="s">
        <v>132</v>
      </c>
      <c r="M102" s="15" t="s">
        <v>31</v>
      </c>
      <c r="N102" s="16" t="str">
        <f>Tabla1[[#This Row],[ABR_02]]</f>
        <v>MZ</v>
      </c>
      <c r="O102" t="s">
        <v>32</v>
      </c>
      <c r="P102" t="s">
        <v>33</v>
      </c>
      <c r="Q102" t="s">
        <v>57</v>
      </c>
      <c r="R102" s="29" t="str">
        <f>_xlfn.CONCAT(Tabla1[[#This Row],[ABR_01]],"00",Tabla1[[#This Row],[ABR_02]],Tabla1[[#This Row],[ZONA2]],,"0",Tabla1[[#This Row],[PARADA2]])</f>
        <v>AR00MZ1012</v>
      </c>
      <c r="S102" s="37" t="s">
        <v>36</v>
      </c>
      <c r="T102" s="37" t="s">
        <v>36</v>
      </c>
      <c r="U102" s="10" t="s">
        <v>196</v>
      </c>
    </row>
    <row r="103" spans="2:21" x14ac:dyDescent="0.2">
      <c r="B103" s="19" t="s">
        <v>40</v>
      </c>
      <c r="C103" s="8" t="s">
        <v>262</v>
      </c>
      <c r="D103" s="12" t="s">
        <v>263</v>
      </c>
      <c r="E103" s="9" t="s">
        <v>264</v>
      </c>
      <c r="F103" s="10" t="s">
        <v>265</v>
      </c>
      <c r="G103" s="69" t="s">
        <v>600</v>
      </c>
      <c r="H103" s="73" t="s">
        <v>601</v>
      </c>
      <c r="I103" s="24" t="s">
        <v>27</v>
      </c>
      <c r="J103" s="24" t="s">
        <v>266</v>
      </c>
      <c r="K103" s="25" t="s">
        <v>29</v>
      </c>
      <c r="L103" s="25" t="s">
        <v>30</v>
      </c>
      <c r="M103" s="15" t="s">
        <v>31</v>
      </c>
      <c r="N103" s="16" t="str">
        <f>Tabla1[[#This Row],[ABR_02]]</f>
        <v>LR</v>
      </c>
      <c r="O103" t="s">
        <v>32</v>
      </c>
      <c r="P103" t="s">
        <v>33</v>
      </c>
      <c r="Q103" t="s">
        <v>32</v>
      </c>
      <c r="R103" s="29" t="str">
        <f>_xlfn.CONCAT(Tabla1[[#This Row],[ABR_01]],"00",Tabla1[[#This Row],[ABR_02]],Tabla1[[#This Row],[ZONA2]],,"0",Tabla1[[#This Row],[PARADA2]])</f>
        <v>AR00LR1001</v>
      </c>
      <c r="S103" s="37" t="s">
        <v>36</v>
      </c>
      <c r="T103" s="37" t="s">
        <v>36</v>
      </c>
      <c r="U103" s="10" t="s">
        <v>265</v>
      </c>
    </row>
    <row r="104" spans="2:21" x14ac:dyDescent="0.2">
      <c r="B104" s="19" t="s">
        <v>40</v>
      </c>
      <c r="C104" s="8" t="s">
        <v>267</v>
      </c>
      <c r="D104" s="12" t="s">
        <v>268</v>
      </c>
      <c r="E104" s="9" t="s">
        <v>264</v>
      </c>
      <c r="F104" s="10" t="s">
        <v>265</v>
      </c>
      <c r="G104" s="69" t="s">
        <v>600</v>
      </c>
      <c r="H104" s="73" t="s">
        <v>602</v>
      </c>
      <c r="I104" s="24" t="s">
        <v>27</v>
      </c>
      <c r="J104" s="24" t="s">
        <v>266</v>
      </c>
      <c r="K104" s="25" t="s">
        <v>29</v>
      </c>
      <c r="L104" s="25" t="s">
        <v>46</v>
      </c>
      <c r="M104" s="15" t="s">
        <v>31</v>
      </c>
      <c r="N104" s="16" t="str">
        <f>Tabla1[[#This Row],[ABR_02]]</f>
        <v>LR</v>
      </c>
      <c r="O104" t="s">
        <v>32</v>
      </c>
      <c r="P104" t="s">
        <v>33</v>
      </c>
      <c r="Q104" t="s">
        <v>32</v>
      </c>
      <c r="R104" s="29" t="str">
        <f>_xlfn.CONCAT(Tabla1[[#This Row],[ABR_01]],"00",Tabla1[[#This Row],[ABR_02]],Tabla1[[#This Row],[ZONA2]],,"0",Tabla1[[#This Row],[PARADA2]])</f>
        <v>AR00LR1002</v>
      </c>
      <c r="S104" s="37" t="s">
        <v>36</v>
      </c>
      <c r="T104" s="37" t="s">
        <v>36</v>
      </c>
      <c r="U104" s="10" t="s">
        <v>265</v>
      </c>
    </row>
    <row r="105" spans="2:21" x14ac:dyDescent="0.2">
      <c r="B105" s="19" t="s">
        <v>40</v>
      </c>
      <c r="C105" s="8" t="s">
        <v>269</v>
      </c>
      <c r="D105" s="12" t="s">
        <v>270</v>
      </c>
      <c r="E105" s="9" t="s">
        <v>271</v>
      </c>
      <c r="F105" s="10" t="s">
        <v>272</v>
      </c>
      <c r="G105" s="69" t="s">
        <v>603</v>
      </c>
      <c r="H105" s="73" t="s">
        <v>604</v>
      </c>
      <c r="I105" s="24" t="s">
        <v>27</v>
      </c>
      <c r="J105" s="24" t="s">
        <v>273</v>
      </c>
      <c r="K105" s="25" t="s">
        <v>29</v>
      </c>
      <c r="L105" s="25" t="s">
        <v>30</v>
      </c>
      <c r="M105" s="15" t="s">
        <v>31</v>
      </c>
      <c r="N105" s="16" t="str">
        <f>Tabla1[[#This Row],[ABR_02]]</f>
        <v>LP</v>
      </c>
      <c r="O105" t="s">
        <v>32</v>
      </c>
      <c r="P105" t="s">
        <v>33</v>
      </c>
      <c r="Q105" t="s">
        <v>32</v>
      </c>
      <c r="R105" s="29" t="str">
        <f>_xlfn.CONCAT(Tabla1[[#This Row],[ABR_01]],"00",Tabla1[[#This Row],[ABR_02]],Tabla1[[#This Row],[ZONA2]],,"0",Tabla1[[#This Row],[PARADA2]])</f>
        <v>AR00LP1001</v>
      </c>
      <c r="S105" s="37" t="s">
        <v>36</v>
      </c>
      <c r="T105" s="37" t="s">
        <v>36</v>
      </c>
      <c r="U105" s="10" t="s">
        <v>272</v>
      </c>
    </row>
    <row r="106" spans="2:21" x14ac:dyDescent="0.2">
      <c r="B106" s="19" t="s">
        <v>40</v>
      </c>
      <c r="C106" s="8" t="s">
        <v>274</v>
      </c>
      <c r="D106" s="17" t="s">
        <v>274</v>
      </c>
      <c r="E106" s="9" t="s">
        <v>271</v>
      </c>
      <c r="F106" s="10" t="s">
        <v>272</v>
      </c>
      <c r="G106" s="69" t="s">
        <v>603</v>
      </c>
      <c r="H106" s="73" t="s">
        <v>605</v>
      </c>
      <c r="I106" s="24" t="s">
        <v>27</v>
      </c>
      <c r="J106" s="24" t="s">
        <v>273</v>
      </c>
      <c r="K106" s="25" t="s">
        <v>29</v>
      </c>
      <c r="L106" s="25" t="s">
        <v>46</v>
      </c>
      <c r="M106" s="15" t="s">
        <v>31</v>
      </c>
      <c r="N106" s="16" t="str">
        <f>Tabla1[[#This Row],[ABR_02]]</f>
        <v>LP</v>
      </c>
      <c r="O106" t="s">
        <v>32</v>
      </c>
      <c r="P106" t="s">
        <v>33</v>
      </c>
      <c r="Q106" t="s">
        <v>32</v>
      </c>
      <c r="R106" s="29" t="str">
        <f>_xlfn.CONCAT(Tabla1[[#This Row],[ABR_01]],"00",Tabla1[[#This Row],[ABR_02]],Tabla1[[#This Row],[ZONA2]],,"0",Tabla1[[#This Row],[PARADA2]])</f>
        <v>AR00LP1002</v>
      </c>
      <c r="S106" s="37" t="s">
        <v>36</v>
      </c>
      <c r="T106" s="37" t="s">
        <v>36</v>
      </c>
      <c r="U106" s="10" t="s">
        <v>272</v>
      </c>
    </row>
    <row r="107" spans="2:21" x14ac:dyDescent="0.2">
      <c r="B107" s="19" t="s">
        <v>40</v>
      </c>
      <c r="C107" s="8" t="s">
        <v>275</v>
      </c>
      <c r="D107" s="17" t="s">
        <v>275</v>
      </c>
      <c r="E107" s="9" t="s">
        <v>271</v>
      </c>
      <c r="F107" s="10" t="s">
        <v>272</v>
      </c>
      <c r="G107" s="69" t="s">
        <v>603</v>
      </c>
      <c r="H107" s="73" t="s">
        <v>603</v>
      </c>
      <c r="I107" s="24" t="s">
        <v>27</v>
      </c>
      <c r="J107" s="24" t="s">
        <v>273</v>
      </c>
      <c r="K107" s="25" t="s">
        <v>29</v>
      </c>
      <c r="L107" s="25" t="s">
        <v>48</v>
      </c>
      <c r="M107" s="15" t="s">
        <v>31</v>
      </c>
      <c r="N107" s="16" t="str">
        <f>Tabla1[[#This Row],[ABR_02]]</f>
        <v>LP</v>
      </c>
      <c r="O107" t="s">
        <v>32</v>
      </c>
      <c r="P107" t="s">
        <v>33</v>
      </c>
      <c r="Q107" t="s">
        <v>32</v>
      </c>
      <c r="R107" s="29" t="str">
        <f>_xlfn.CONCAT(Tabla1[[#This Row],[ABR_01]],"00",Tabla1[[#This Row],[ABR_02]],Tabla1[[#This Row],[ZONA2]],,"0",Tabla1[[#This Row],[PARADA2]])</f>
        <v>AR00LP1003</v>
      </c>
      <c r="S107" s="37" t="s">
        <v>36</v>
      </c>
      <c r="T107" s="37" t="s">
        <v>36</v>
      </c>
      <c r="U107" s="10" t="s">
        <v>272</v>
      </c>
    </row>
    <row r="108" spans="2:21" x14ac:dyDescent="0.2">
      <c r="B108" s="19" t="s">
        <v>40</v>
      </c>
      <c r="C108" s="8" t="s">
        <v>276</v>
      </c>
      <c r="D108" s="12" t="s">
        <v>277</v>
      </c>
      <c r="E108" s="9" t="s">
        <v>271</v>
      </c>
      <c r="F108" s="10" t="s">
        <v>272</v>
      </c>
      <c r="G108" s="69" t="s">
        <v>603</v>
      </c>
      <c r="H108" s="73" t="s">
        <v>606</v>
      </c>
      <c r="I108" s="24" t="s">
        <v>27</v>
      </c>
      <c r="J108" s="24" t="s">
        <v>273</v>
      </c>
      <c r="K108" s="25" t="s">
        <v>29</v>
      </c>
      <c r="L108" s="25" t="s">
        <v>51</v>
      </c>
      <c r="M108" s="15" t="s">
        <v>31</v>
      </c>
      <c r="N108" s="16" t="str">
        <f>Tabla1[[#This Row],[ABR_02]]</f>
        <v>LP</v>
      </c>
      <c r="O108" t="s">
        <v>32</v>
      </c>
      <c r="P108" t="s">
        <v>33</v>
      </c>
      <c r="Q108" t="s">
        <v>32</v>
      </c>
      <c r="R108" s="29" t="str">
        <f>_xlfn.CONCAT(Tabla1[[#This Row],[ABR_01]],"00",Tabla1[[#This Row],[ABR_02]],Tabla1[[#This Row],[ZONA2]],,"0",Tabla1[[#This Row],[PARADA2]])</f>
        <v>AR00LP1004</v>
      </c>
      <c r="S108" s="37" t="s">
        <v>36</v>
      </c>
      <c r="T108" s="37" t="s">
        <v>36</v>
      </c>
      <c r="U108" s="10" t="s">
        <v>272</v>
      </c>
    </row>
    <row r="109" spans="2:21" x14ac:dyDescent="0.2">
      <c r="B109" s="19" t="s">
        <v>40</v>
      </c>
      <c r="C109" s="8" t="s">
        <v>278</v>
      </c>
      <c r="D109" s="17" t="s">
        <v>278</v>
      </c>
      <c r="E109" s="9" t="s">
        <v>279</v>
      </c>
      <c r="F109" s="10" t="s">
        <v>88</v>
      </c>
      <c r="G109" s="69" t="s">
        <v>607</v>
      </c>
      <c r="H109" s="73" t="s">
        <v>608</v>
      </c>
      <c r="I109" s="24" t="s">
        <v>27</v>
      </c>
      <c r="J109" s="24" t="s">
        <v>280</v>
      </c>
      <c r="K109" s="25" t="s">
        <v>29</v>
      </c>
      <c r="L109" s="25" t="s">
        <v>30</v>
      </c>
      <c r="M109" s="15" t="s">
        <v>31</v>
      </c>
      <c r="N109" s="16" t="str">
        <f>Tabla1[[#This Row],[ABR_02]]</f>
        <v>JY</v>
      </c>
      <c r="O109" t="s">
        <v>32</v>
      </c>
      <c r="P109" t="s">
        <v>33</v>
      </c>
      <c r="Q109" t="s">
        <v>57</v>
      </c>
      <c r="R109" s="29" t="str">
        <f>_xlfn.CONCAT(Tabla1[[#This Row],[ABR_01]],"00",Tabla1[[#This Row],[ABR_02]],Tabla1[[#This Row],[ZONA2]],,"0",Tabla1[[#This Row],[PARADA2]])</f>
        <v>AR00JY1001</v>
      </c>
      <c r="S109" s="37" t="s">
        <v>36</v>
      </c>
      <c r="T109" s="37" t="s">
        <v>36</v>
      </c>
      <c r="U109" s="10" t="s">
        <v>88</v>
      </c>
    </row>
    <row r="110" spans="2:21" x14ac:dyDescent="0.2">
      <c r="B110" s="19" t="s">
        <v>40</v>
      </c>
      <c r="C110" s="8" t="s">
        <v>281</v>
      </c>
      <c r="D110" s="17" t="s">
        <v>282</v>
      </c>
      <c r="E110" s="9" t="s">
        <v>279</v>
      </c>
      <c r="F110" s="10" t="s">
        <v>88</v>
      </c>
      <c r="G110" s="69" t="s">
        <v>607</v>
      </c>
      <c r="H110" s="73" t="s">
        <v>609</v>
      </c>
      <c r="I110" s="24" t="s">
        <v>27</v>
      </c>
      <c r="J110" s="24" t="s">
        <v>280</v>
      </c>
      <c r="K110" s="25" t="s">
        <v>29</v>
      </c>
      <c r="L110" s="25" t="s">
        <v>46</v>
      </c>
      <c r="M110" s="15" t="s">
        <v>31</v>
      </c>
      <c r="N110" s="16" t="str">
        <f>Tabla1[[#This Row],[ABR_02]]</f>
        <v>JY</v>
      </c>
      <c r="O110" t="s">
        <v>32</v>
      </c>
      <c r="P110" t="s">
        <v>33</v>
      </c>
      <c r="Q110" t="s">
        <v>57</v>
      </c>
      <c r="R110" s="29" t="str">
        <f>_xlfn.CONCAT(Tabla1[[#This Row],[ABR_01]],"00",Tabla1[[#This Row],[ABR_02]],Tabla1[[#This Row],[ZONA2]],,"0",Tabla1[[#This Row],[PARADA2]])</f>
        <v>AR00JY1002</v>
      </c>
      <c r="S110" s="37" t="s">
        <v>36</v>
      </c>
      <c r="T110" s="37" t="s">
        <v>36</v>
      </c>
      <c r="U110" s="10" t="s">
        <v>88</v>
      </c>
    </row>
    <row r="111" spans="2:21" x14ac:dyDescent="0.2">
      <c r="B111" s="19" t="s">
        <v>40</v>
      </c>
      <c r="C111" s="8" t="s">
        <v>283</v>
      </c>
      <c r="D111" s="12" t="s">
        <v>284</v>
      </c>
      <c r="E111" s="9" t="s">
        <v>279</v>
      </c>
      <c r="F111" s="10" t="s">
        <v>88</v>
      </c>
      <c r="G111" s="69" t="s">
        <v>607</v>
      </c>
      <c r="H111" s="73" t="s">
        <v>610</v>
      </c>
      <c r="I111" s="24" t="s">
        <v>27</v>
      </c>
      <c r="J111" s="24" t="s">
        <v>280</v>
      </c>
      <c r="K111" s="25" t="s">
        <v>29</v>
      </c>
      <c r="L111" s="25" t="s">
        <v>48</v>
      </c>
      <c r="M111" s="15" t="s">
        <v>31</v>
      </c>
      <c r="N111" s="16" t="str">
        <f>Tabla1[[#This Row],[ABR_02]]</f>
        <v>JY</v>
      </c>
      <c r="O111" t="s">
        <v>32</v>
      </c>
      <c r="P111" t="s">
        <v>33</v>
      </c>
      <c r="Q111" t="s">
        <v>57</v>
      </c>
      <c r="R111" s="29" t="str">
        <f>_xlfn.CONCAT(Tabla1[[#This Row],[ABR_01]],"00",Tabla1[[#This Row],[ABR_02]],Tabla1[[#This Row],[ZONA2]],,"0",Tabla1[[#This Row],[PARADA2]])</f>
        <v>AR00JY1003</v>
      </c>
      <c r="S111" s="37" t="s">
        <v>36</v>
      </c>
      <c r="T111" s="37" t="s">
        <v>36</v>
      </c>
      <c r="U111" s="10" t="s">
        <v>88</v>
      </c>
    </row>
    <row r="112" spans="2:21" x14ac:dyDescent="0.2">
      <c r="B112" s="19" t="s">
        <v>40</v>
      </c>
      <c r="C112" s="8" t="s">
        <v>285</v>
      </c>
      <c r="D112" s="17" t="s">
        <v>285</v>
      </c>
      <c r="E112" s="9" t="s">
        <v>279</v>
      </c>
      <c r="F112" s="10" t="s">
        <v>88</v>
      </c>
      <c r="G112" s="69" t="s">
        <v>607</v>
      </c>
      <c r="H112" s="73" t="s">
        <v>611</v>
      </c>
      <c r="I112" s="24" t="s">
        <v>27</v>
      </c>
      <c r="J112" s="24" t="s">
        <v>280</v>
      </c>
      <c r="K112" s="25" t="s">
        <v>29</v>
      </c>
      <c r="L112" s="25" t="s">
        <v>51</v>
      </c>
      <c r="M112" s="15" t="s">
        <v>31</v>
      </c>
      <c r="N112" s="16" t="str">
        <f>Tabla1[[#This Row],[ABR_02]]</f>
        <v>JY</v>
      </c>
      <c r="O112" t="s">
        <v>32</v>
      </c>
      <c r="P112" t="s">
        <v>33</v>
      </c>
      <c r="Q112" t="s">
        <v>57</v>
      </c>
      <c r="R112" s="29" t="str">
        <f>_xlfn.CONCAT(Tabla1[[#This Row],[ABR_01]],"00",Tabla1[[#This Row],[ABR_02]],Tabla1[[#This Row],[ZONA2]],,"0",Tabla1[[#This Row],[PARADA2]])</f>
        <v>AR00JY1004</v>
      </c>
      <c r="S112" s="37" t="s">
        <v>36</v>
      </c>
      <c r="T112" s="37" t="s">
        <v>36</v>
      </c>
      <c r="U112" s="10" t="s">
        <v>88</v>
      </c>
    </row>
    <row r="113" spans="2:21" x14ac:dyDescent="0.2">
      <c r="B113" s="19" t="s">
        <v>40</v>
      </c>
      <c r="C113" s="8" t="s">
        <v>286</v>
      </c>
      <c r="D113" s="17" t="s">
        <v>286</v>
      </c>
      <c r="E113" s="9" t="s">
        <v>279</v>
      </c>
      <c r="F113" s="10" t="s">
        <v>88</v>
      </c>
      <c r="G113" s="69" t="s">
        <v>607</v>
      </c>
      <c r="H113" s="73" t="s">
        <v>612</v>
      </c>
      <c r="I113" s="24" t="s">
        <v>27</v>
      </c>
      <c r="J113" s="24" t="s">
        <v>280</v>
      </c>
      <c r="K113" s="25" t="s">
        <v>29</v>
      </c>
      <c r="L113" s="25" t="s">
        <v>65</v>
      </c>
      <c r="M113" s="15" t="s">
        <v>31</v>
      </c>
      <c r="N113" s="16" t="str">
        <f>Tabla1[[#This Row],[ABR_02]]</f>
        <v>JY</v>
      </c>
      <c r="O113" t="s">
        <v>32</v>
      </c>
      <c r="P113" t="s">
        <v>33</v>
      </c>
      <c r="Q113" t="s">
        <v>57</v>
      </c>
      <c r="R113" s="29" t="str">
        <f>_xlfn.CONCAT(Tabla1[[#This Row],[ABR_01]],"00",Tabla1[[#This Row],[ABR_02]],Tabla1[[#This Row],[ZONA2]],,"0",Tabla1[[#This Row],[PARADA2]])</f>
        <v>AR00JY1005</v>
      </c>
      <c r="S113" s="37" t="s">
        <v>36</v>
      </c>
      <c r="T113" s="37" t="s">
        <v>36</v>
      </c>
      <c r="U113" s="10" t="s">
        <v>88</v>
      </c>
    </row>
    <row r="114" spans="2:21" x14ac:dyDescent="0.2">
      <c r="B114" s="19" t="s">
        <v>40</v>
      </c>
      <c r="C114" s="8" t="s">
        <v>287</v>
      </c>
      <c r="D114" s="12" t="s">
        <v>288</v>
      </c>
      <c r="E114" s="9" t="s">
        <v>289</v>
      </c>
      <c r="F114" s="10" t="s">
        <v>77</v>
      </c>
      <c r="G114" s="69" t="s">
        <v>613</v>
      </c>
      <c r="H114" s="73" t="s">
        <v>614</v>
      </c>
      <c r="I114" s="24" t="s">
        <v>27</v>
      </c>
      <c r="J114" s="24" t="s">
        <v>290</v>
      </c>
      <c r="K114" s="25" t="s">
        <v>29</v>
      </c>
      <c r="L114" s="25" t="s">
        <v>30</v>
      </c>
      <c r="M114" s="15" t="s">
        <v>31</v>
      </c>
      <c r="N114" s="16" t="str">
        <f>Tabla1[[#This Row],[ABR_02]]</f>
        <v>FO</v>
      </c>
      <c r="O114" t="s">
        <v>32</v>
      </c>
      <c r="P114" t="s">
        <v>33</v>
      </c>
      <c r="Q114" t="s">
        <v>57</v>
      </c>
      <c r="R114" s="29" t="str">
        <f>_xlfn.CONCAT(Tabla1[[#This Row],[ABR_01]],"00",Tabla1[[#This Row],[ABR_02]],Tabla1[[#This Row],[ZONA2]],,"0",Tabla1[[#This Row],[PARADA2]])</f>
        <v>AR00FO1001</v>
      </c>
      <c r="S114" s="37" t="s">
        <v>36</v>
      </c>
      <c r="T114" s="37" t="s">
        <v>36</v>
      </c>
      <c r="U114" s="10" t="s">
        <v>77</v>
      </c>
    </row>
    <row r="115" spans="2:21" x14ac:dyDescent="0.2">
      <c r="B115" s="19" t="s">
        <v>40</v>
      </c>
      <c r="C115" s="8" t="s">
        <v>291</v>
      </c>
      <c r="D115" s="12" t="s">
        <v>292</v>
      </c>
      <c r="E115" s="9" t="s">
        <v>289</v>
      </c>
      <c r="F115" s="10" t="s">
        <v>77</v>
      </c>
      <c r="G115" s="69" t="s">
        <v>613</v>
      </c>
      <c r="H115" s="73" t="s">
        <v>615</v>
      </c>
      <c r="I115" s="24" t="s">
        <v>27</v>
      </c>
      <c r="J115" s="24" t="s">
        <v>290</v>
      </c>
      <c r="K115" s="25" t="s">
        <v>29</v>
      </c>
      <c r="L115" s="25" t="s">
        <v>46</v>
      </c>
      <c r="M115" s="15" t="s">
        <v>31</v>
      </c>
      <c r="N115" s="16" t="str">
        <f>Tabla1[[#This Row],[ABR_02]]</f>
        <v>FO</v>
      </c>
      <c r="O115" t="s">
        <v>32</v>
      </c>
      <c r="P115" t="s">
        <v>33</v>
      </c>
      <c r="Q115" t="s">
        <v>57</v>
      </c>
      <c r="R115" s="29" t="str">
        <f>_xlfn.CONCAT(Tabla1[[#This Row],[ABR_01]],"00",Tabla1[[#This Row],[ABR_02]],Tabla1[[#This Row],[ZONA2]],,"0",Tabla1[[#This Row],[PARADA2]])</f>
        <v>AR00FO1002</v>
      </c>
      <c r="S115" s="37" t="s">
        <v>36</v>
      </c>
      <c r="T115" s="37" t="s">
        <v>36</v>
      </c>
      <c r="U115" s="10" t="s">
        <v>77</v>
      </c>
    </row>
    <row r="116" spans="2:21" x14ac:dyDescent="0.2">
      <c r="B116" s="19" t="s">
        <v>40</v>
      </c>
      <c r="C116" s="8" t="s">
        <v>293</v>
      </c>
      <c r="D116" s="17" t="s">
        <v>293</v>
      </c>
      <c r="E116" s="9" t="s">
        <v>294</v>
      </c>
      <c r="F116" s="10" t="s">
        <v>295</v>
      </c>
      <c r="G116" s="69" t="s">
        <v>616</v>
      </c>
      <c r="H116" s="73" t="s">
        <v>617</v>
      </c>
      <c r="I116" s="24" t="s">
        <v>27</v>
      </c>
      <c r="J116" s="24" t="s">
        <v>296</v>
      </c>
      <c r="K116" s="25" t="s">
        <v>29</v>
      </c>
      <c r="L116" s="25" t="s">
        <v>30</v>
      </c>
      <c r="M116" s="15" t="s">
        <v>31</v>
      </c>
      <c r="N116" s="16" t="str">
        <f>Tabla1[[#This Row],[ABR_02]]</f>
        <v>ER</v>
      </c>
      <c r="O116" t="s">
        <v>32</v>
      </c>
      <c r="P116" t="s">
        <v>33</v>
      </c>
      <c r="Q116" t="s">
        <v>32</v>
      </c>
      <c r="R116" s="29" t="str">
        <f>_xlfn.CONCAT(Tabla1[[#This Row],[ABR_01]],"00",Tabla1[[#This Row],[ABR_02]],Tabla1[[#This Row],[ZONA2]],,"0",Tabla1[[#This Row],[PARADA2]])</f>
        <v>AR00ER1001</v>
      </c>
      <c r="S116" s="37" t="s">
        <v>36</v>
      </c>
      <c r="T116" s="37" t="s">
        <v>36</v>
      </c>
      <c r="U116" s="10" t="s">
        <v>295</v>
      </c>
    </row>
    <row r="117" spans="2:21" x14ac:dyDescent="0.2">
      <c r="B117" s="19" t="s">
        <v>40</v>
      </c>
      <c r="C117" s="8" t="s">
        <v>297</v>
      </c>
      <c r="D117" s="17" t="s">
        <v>297</v>
      </c>
      <c r="E117" s="9" t="s">
        <v>294</v>
      </c>
      <c r="F117" s="10" t="s">
        <v>295</v>
      </c>
      <c r="G117" s="69" t="s">
        <v>616</v>
      </c>
      <c r="H117" s="73" t="s">
        <v>618</v>
      </c>
      <c r="I117" s="24" t="s">
        <v>27</v>
      </c>
      <c r="J117" s="24" t="s">
        <v>296</v>
      </c>
      <c r="K117" s="25" t="s">
        <v>29</v>
      </c>
      <c r="L117" s="25" t="s">
        <v>46</v>
      </c>
      <c r="M117" s="15" t="s">
        <v>31</v>
      </c>
      <c r="N117" s="16" t="str">
        <f>Tabla1[[#This Row],[ABR_02]]</f>
        <v>ER</v>
      </c>
      <c r="O117" t="s">
        <v>32</v>
      </c>
      <c r="P117" t="s">
        <v>33</v>
      </c>
      <c r="Q117" t="s">
        <v>32</v>
      </c>
      <c r="R117" s="29" t="str">
        <f>_xlfn.CONCAT(Tabla1[[#This Row],[ABR_01]],"00",Tabla1[[#This Row],[ABR_02]],Tabla1[[#This Row],[ZONA2]],,"0",Tabla1[[#This Row],[PARADA2]])</f>
        <v>AR00ER1002</v>
      </c>
      <c r="S117" s="37" t="s">
        <v>36</v>
      </c>
      <c r="T117" s="37" t="s">
        <v>36</v>
      </c>
      <c r="U117" s="10" t="s">
        <v>295</v>
      </c>
    </row>
    <row r="118" spans="2:21" x14ac:dyDescent="0.2">
      <c r="B118" s="19" t="s">
        <v>40</v>
      </c>
      <c r="C118" s="8" t="s">
        <v>298</v>
      </c>
      <c r="D118" s="17" t="s">
        <v>299</v>
      </c>
      <c r="E118" s="9" t="s">
        <v>294</v>
      </c>
      <c r="F118" s="10" t="s">
        <v>295</v>
      </c>
      <c r="G118" s="69" t="s">
        <v>616</v>
      </c>
      <c r="H118" s="73" t="s">
        <v>619</v>
      </c>
      <c r="I118" s="24" t="s">
        <v>27</v>
      </c>
      <c r="J118" s="24" t="s">
        <v>296</v>
      </c>
      <c r="K118" s="25" t="s">
        <v>29</v>
      </c>
      <c r="L118" s="25" t="s">
        <v>48</v>
      </c>
      <c r="M118" s="15" t="s">
        <v>31</v>
      </c>
      <c r="N118" s="16" t="str">
        <f>Tabla1[[#This Row],[ABR_02]]</f>
        <v>ER</v>
      </c>
      <c r="O118" t="s">
        <v>32</v>
      </c>
      <c r="P118" t="s">
        <v>33</v>
      </c>
      <c r="Q118" t="s">
        <v>32</v>
      </c>
      <c r="R118" s="29" t="str">
        <f>_xlfn.CONCAT(Tabla1[[#This Row],[ABR_01]],"00",Tabla1[[#This Row],[ABR_02]],Tabla1[[#This Row],[ZONA2]],,"0",Tabla1[[#This Row],[PARADA2]])</f>
        <v>AR00ER1003</v>
      </c>
      <c r="S118" s="37" t="s">
        <v>36</v>
      </c>
      <c r="T118" s="37" t="s">
        <v>36</v>
      </c>
      <c r="U118" s="10" t="s">
        <v>295</v>
      </c>
    </row>
    <row r="119" spans="2:21" x14ac:dyDescent="0.2">
      <c r="B119" s="19" t="s">
        <v>40</v>
      </c>
      <c r="C119" s="8" t="s">
        <v>300</v>
      </c>
      <c r="D119" s="12" t="s">
        <v>301</v>
      </c>
      <c r="E119" s="9" t="s">
        <v>294</v>
      </c>
      <c r="F119" s="10" t="s">
        <v>295</v>
      </c>
      <c r="G119" s="69" t="s">
        <v>616</v>
      </c>
      <c r="H119" s="73" t="s">
        <v>620</v>
      </c>
      <c r="I119" s="24" t="s">
        <v>27</v>
      </c>
      <c r="J119" s="24" t="s">
        <v>296</v>
      </c>
      <c r="K119" s="25" t="s">
        <v>29</v>
      </c>
      <c r="L119" s="25" t="s">
        <v>51</v>
      </c>
      <c r="M119" s="15" t="s">
        <v>31</v>
      </c>
      <c r="N119" s="16" t="str">
        <f>Tabla1[[#This Row],[ABR_02]]</f>
        <v>ER</v>
      </c>
      <c r="O119" t="s">
        <v>32</v>
      </c>
      <c r="P119" t="s">
        <v>33</v>
      </c>
      <c r="Q119" t="s">
        <v>32</v>
      </c>
      <c r="R119" s="29" t="str">
        <f>_xlfn.CONCAT(Tabla1[[#This Row],[ABR_01]],"00",Tabla1[[#This Row],[ABR_02]],Tabla1[[#This Row],[ZONA2]],,"0",Tabla1[[#This Row],[PARADA2]])</f>
        <v>AR00ER1004</v>
      </c>
      <c r="S119" s="37" t="s">
        <v>36</v>
      </c>
      <c r="T119" s="37" t="s">
        <v>36</v>
      </c>
      <c r="U119" s="10" t="s">
        <v>295</v>
      </c>
    </row>
    <row r="120" spans="2:21" x14ac:dyDescent="0.2">
      <c r="B120" s="19" t="s">
        <v>40</v>
      </c>
      <c r="C120" s="8" t="s">
        <v>302</v>
      </c>
      <c r="D120" s="17" t="s">
        <v>302</v>
      </c>
      <c r="E120" s="9" t="s">
        <v>294</v>
      </c>
      <c r="F120" s="10" t="s">
        <v>295</v>
      </c>
      <c r="G120" s="69" t="s">
        <v>616</v>
      </c>
      <c r="H120" s="73" t="s">
        <v>621</v>
      </c>
      <c r="I120" s="24" t="s">
        <v>27</v>
      </c>
      <c r="J120" s="24" t="s">
        <v>296</v>
      </c>
      <c r="K120" s="25" t="s">
        <v>29</v>
      </c>
      <c r="L120" s="25" t="s">
        <v>65</v>
      </c>
      <c r="M120" s="15" t="s">
        <v>31</v>
      </c>
      <c r="N120" s="16" t="str">
        <f>Tabla1[[#This Row],[ABR_02]]</f>
        <v>ER</v>
      </c>
      <c r="O120" t="s">
        <v>32</v>
      </c>
      <c r="P120" t="s">
        <v>33</v>
      </c>
      <c r="Q120" t="s">
        <v>32</v>
      </c>
      <c r="R120" s="29" t="str">
        <f>_xlfn.CONCAT(Tabla1[[#This Row],[ABR_01]],"00",Tabla1[[#This Row],[ABR_02]],Tabla1[[#This Row],[ZONA2]],,"0",Tabla1[[#This Row],[PARADA2]])</f>
        <v>AR00ER1005</v>
      </c>
      <c r="S120" s="37" t="s">
        <v>36</v>
      </c>
      <c r="T120" s="37" t="s">
        <v>36</v>
      </c>
      <c r="U120" s="10" t="s">
        <v>295</v>
      </c>
    </row>
    <row r="121" spans="2:21" x14ac:dyDescent="0.2">
      <c r="B121" s="19" t="s">
        <v>40</v>
      </c>
      <c r="C121" s="8" t="s">
        <v>303</v>
      </c>
      <c r="D121" s="17" t="s">
        <v>303</v>
      </c>
      <c r="E121" s="9" t="s">
        <v>294</v>
      </c>
      <c r="F121" s="10" t="s">
        <v>295</v>
      </c>
      <c r="G121" s="69" t="s">
        <v>616</v>
      </c>
      <c r="H121" s="73" t="s">
        <v>622</v>
      </c>
      <c r="I121" s="24" t="s">
        <v>27</v>
      </c>
      <c r="J121" s="24" t="s">
        <v>296</v>
      </c>
      <c r="K121" s="25" t="s">
        <v>29</v>
      </c>
      <c r="L121" s="25" t="s">
        <v>67</v>
      </c>
      <c r="M121" s="15" t="s">
        <v>31</v>
      </c>
      <c r="N121" s="16" t="str">
        <f>Tabla1[[#This Row],[ABR_02]]</f>
        <v>ER</v>
      </c>
      <c r="O121" t="s">
        <v>32</v>
      </c>
      <c r="P121" t="s">
        <v>33</v>
      </c>
      <c r="Q121" t="s">
        <v>32</v>
      </c>
      <c r="R121" s="29" t="str">
        <f>_xlfn.CONCAT(Tabla1[[#This Row],[ABR_01]],"00",Tabla1[[#This Row],[ABR_02]],Tabla1[[#This Row],[ZONA2]],,"0",Tabla1[[#This Row],[PARADA2]])</f>
        <v>AR00ER1006</v>
      </c>
      <c r="S121" s="37" t="s">
        <v>36</v>
      </c>
      <c r="T121" s="37" t="s">
        <v>36</v>
      </c>
      <c r="U121" s="10" t="s">
        <v>295</v>
      </c>
    </row>
    <row r="122" spans="2:21" x14ac:dyDescent="0.2">
      <c r="B122" s="19" t="s">
        <v>40</v>
      </c>
      <c r="C122" s="8" t="s">
        <v>304</v>
      </c>
      <c r="D122" s="17" t="s">
        <v>304</v>
      </c>
      <c r="E122" s="9" t="s">
        <v>294</v>
      </c>
      <c r="F122" s="10" t="s">
        <v>295</v>
      </c>
      <c r="G122" s="69" t="s">
        <v>616</v>
      </c>
      <c r="H122" s="73" t="s">
        <v>623</v>
      </c>
      <c r="I122" s="24" t="s">
        <v>27</v>
      </c>
      <c r="J122" s="24" t="s">
        <v>296</v>
      </c>
      <c r="K122" s="25" t="s">
        <v>29</v>
      </c>
      <c r="L122" s="25" t="s">
        <v>70</v>
      </c>
      <c r="M122" s="15" t="s">
        <v>31</v>
      </c>
      <c r="N122" s="16" t="str">
        <f>Tabla1[[#This Row],[ABR_02]]</f>
        <v>ER</v>
      </c>
      <c r="O122" t="s">
        <v>32</v>
      </c>
      <c r="P122" t="s">
        <v>33</v>
      </c>
      <c r="Q122" t="s">
        <v>32</v>
      </c>
      <c r="R122" s="29" t="str">
        <f>_xlfn.CONCAT(Tabla1[[#This Row],[ABR_01]],"00",Tabla1[[#This Row],[ABR_02]],Tabla1[[#This Row],[ZONA2]],,"0",Tabla1[[#This Row],[PARADA2]])</f>
        <v>AR00ER1007</v>
      </c>
      <c r="S122" s="37" t="s">
        <v>36</v>
      </c>
      <c r="T122" s="37" t="s">
        <v>36</v>
      </c>
      <c r="U122" s="10" t="s">
        <v>295</v>
      </c>
    </row>
    <row r="123" spans="2:21" x14ac:dyDescent="0.2">
      <c r="B123" s="19" t="s">
        <v>40</v>
      </c>
      <c r="C123" s="8" t="s">
        <v>305</v>
      </c>
      <c r="D123" s="12" t="s">
        <v>306</v>
      </c>
      <c r="E123" s="9" t="s">
        <v>294</v>
      </c>
      <c r="F123" s="10" t="s">
        <v>295</v>
      </c>
      <c r="G123" s="69" t="s">
        <v>616</v>
      </c>
      <c r="H123" s="73" t="s">
        <v>624</v>
      </c>
      <c r="I123" s="24" t="s">
        <v>27</v>
      </c>
      <c r="J123" s="24" t="s">
        <v>296</v>
      </c>
      <c r="K123" s="25" t="s">
        <v>29</v>
      </c>
      <c r="L123" s="25" t="s">
        <v>73</v>
      </c>
      <c r="M123" s="15" t="s">
        <v>31</v>
      </c>
      <c r="N123" s="16" t="str">
        <f>Tabla1[[#This Row],[ABR_02]]</f>
        <v>ER</v>
      </c>
      <c r="O123" t="s">
        <v>32</v>
      </c>
      <c r="P123" t="s">
        <v>33</v>
      </c>
      <c r="Q123" t="s">
        <v>32</v>
      </c>
      <c r="R123" s="29" t="str">
        <f>_xlfn.CONCAT(Tabla1[[#This Row],[ABR_01]],"00",Tabla1[[#This Row],[ABR_02]],Tabla1[[#This Row],[ZONA2]],,"0",Tabla1[[#This Row],[PARADA2]])</f>
        <v>AR00ER1008</v>
      </c>
      <c r="S123" s="37" t="s">
        <v>36</v>
      </c>
      <c r="T123" s="37" t="s">
        <v>36</v>
      </c>
      <c r="U123" s="10" t="s">
        <v>295</v>
      </c>
    </row>
    <row r="124" spans="2:21" x14ac:dyDescent="0.2">
      <c r="B124" s="19" t="s">
        <v>40</v>
      </c>
      <c r="C124" s="8" t="s">
        <v>307</v>
      </c>
      <c r="D124" s="17" t="s">
        <v>307</v>
      </c>
      <c r="E124" s="9" t="s">
        <v>294</v>
      </c>
      <c r="F124" s="10" t="s">
        <v>295</v>
      </c>
      <c r="G124" s="69" t="s">
        <v>616</v>
      </c>
      <c r="H124" s="73" t="s">
        <v>625</v>
      </c>
      <c r="I124" s="24" t="s">
        <v>27</v>
      </c>
      <c r="J124" s="24" t="s">
        <v>296</v>
      </c>
      <c r="K124" s="25" t="s">
        <v>29</v>
      </c>
      <c r="L124" s="25" t="s">
        <v>125</v>
      </c>
      <c r="M124" s="15" t="s">
        <v>31</v>
      </c>
      <c r="N124" s="16" t="str">
        <f>Tabla1[[#This Row],[ABR_02]]</f>
        <v>ER</v>
      </c>
      <c r="O124" t="s">
        <v>32</v>
      </c>
      <c r="P124" t="s">
        <v>33</v>
      </c>
      <c r="Q124" t="s">
        <v>32</v>
      </c>
      <c r="R124" s="29" t="str">
        <f>_xlfn.CONCAT(Tabla1[[#This Row],[ABR_01]],"00",Tabla1[[#This Row],[ABR_02]],Tabla1[[#This Row],[ZONA2]],,"0",Tabla1[[#This Row],[PARADA2]])</f>
        <v>AR00ER1009</v>
      </c>
      <c r="S124" s="37" t="s">
        <v>36</v>
      </c>
      <c r="T124" s="37" t="s">
        <v>36</v>
      </c>
      <c r="U124" s="10" t="s">
        <v>295</v>
      </c>
    </row>
    <row r="125" spans="2:21" x14ac:dyDescent="0.2">
      <c r="B125" s="19" t="s">
        <v>40</v>
      </c>
      <c r="C125" s="8" t="s">
        <v>308</v>
      </c>
      <c r="D125" s="17" t="s">
        <v>308</v>
      </c>
      <c r="E125" s="9" t="s">
        <v>294</v>
      </c>
      <c r="F125" s="10" t="s">
        <v>295</v>
      </c>
      <c r="G125" s="69" t="s">
        <v>616</v>
      </c>
      <c r="H125" s="73" t="s">
        <v>613</v>
      </c>
      <c r="I125" s="24" t="s">
        <v>27</v>
      </c>
      <c r="J125" s="24" t="s">
        <v>296</v>
      </c>
      <c r="K125" s="25" t="s">
        <v>29</v>
      </c>
      <c r="L125" s="25" t="s">
        <v>128</v>
      </c>
      <c r="M125" s="15" t="s">
        <v>31</v>
      </c>
      <c r="N125" s="16" t="str">
        <f>Tabla1[[#This Row],[ABR_02]]</f>
        <v>ER</v>
      </c>
      <c r="O125" t="s">
        <v>32</v>
      </c>
      <c r="P125" t="s">
        <v>33</v>
      </c>
      <c r="Q125" t="s">
        <v>32</v>
      </c>
      <c r="R125" s="29" t="str">
        <f>_xlfn.CONCAT(Tabla1[[#This Row],[ABR_01]],"00",Tabla1[[#This Row],[ABR_02]],Tabla1[[#This Row],[ZONA2]],,"0",Tabla1[[#This Row],[PARADA2]])</f>
        <v>AR00ER1010</v>
      </c>
      <c r="S125" s="37" t="s">
        <v>36</v>
      </c>
      <c r="T125" s="37" t="s">
        <v>36</v>
      </c>
      <c r="U125" s="10" t="s">
        <v>295</v>
      </c>
    </row>
    <row r="126" spans="2:21" x14ac:dyDescent="0.2">
      <c r="B126" s="19" t="s">
        <v>40</v>
      </c>
      <c r="C126" s="8" t="s">
        <v>309</v>
      </c>
      <c r="D126" s="17" t="s">
        <v>309</v>
      </c>
      <c r="E126" s="9" t="s">
        <v>294</v>
      </c>
      <c r="F126" s="10" t="s">
        <v>295</v>
      </c>
      <c r="G126" s="69" t="s">
        <v>616</v>
      </c>
      <c r="H126" s="73" t="s">
        <v>626</v>
      </c>
      <c r="I126" s="24" t="s">
        <v>27</v>
      </c>
      <c r="J126" s="24" t="s">
        <v>296</v>
      </c>
      <c r="K126" s="25" t="s">
        <v>29</v>
      </c>
      <c r="L126" s="25" t="s">
        <v>130</v>
      </c>
      <c r="M126" s="15" t="s">
        <v>31</v>
      </c>
      <c r="N126" s="16" t="str">
        <f>Tabla1[[#This Row],[ABR_02]]</f>
        <v>ER</v>
      </c>
      <c r="O126" t="s">
        <v>32</v>
      </c>
      <c r="P126" t="s">
        <v>33</v>
      </c>
      <c r="Q126" t="s">
        <v>32</v>
      </c>
      <c r="R126" s="29" t="str">
        <f>_xlfn.CONCAT(Tabla1[[#This Row],[ABR_01]],"00",Tabla1[[#This Row],[ABR_02]],Tabla1[[#This Row],[ZONA2]],,"0",Tabla1[[#This Row],[PARADA2]])</f>
        <v>AR00ER1011</v>
      </c>
      <c r="S126" s="37" t="s">
        <v>36</v>
      </c>
      <c r="T126" s="37" t="s">
        <v>36</v>
      </c>
      <c r="U126" s="10" t="s">
        <v>295</v>
      </c>
    </row>
    <row r="127" spans="2:21" x14ac:dyDescent="0.2">
      <c r="B127" s="19" t="s">
        <v>40</v>
      </c>
      <c r="C127" s="8" t="s">
        <v>310</v>
      </c>
      <c r="D127" s="17" t="s">
        <v>310</v>
      </c>
      <c r="E127" s="9" t="s">
        <v>294</v>
      </c>
      <c r="F127" s="10" t="s">
        <v>295</v>
      </c>
      <c r="G127" s="69" t="s">
        <v>616</v>
      </c>
      <c r="H127" s="73" t="s">
        <v>627</v>
      </c>
      <c r="I127" s="24" t="s">
        <v>27</v>
      </c>
      <c r="J127" s="24" t="s">
        <v>296</v>
      </c>
      <c r="K127" s="25" t="s">
        <v>29</v>
      </c>
      <c r="L127" s="25" t="s">
        <v>132</v>
      </c>
      <c r="M127" s="15" t="s">
        <v>31</v>
      </c>
      <c r="N127" s="16" t="str">
        <f>Tabla1[[#This Row],[ABR_02]]</f>
        <v>ER</v>
      </c>
      <c r="O127" t="s">
        <v>32</v>
      </c>
      <c r="P127" t="s">
        <v>33</v>
      </c>
      <c r="Q127" t="s">
        <v>32</v>
      </c>
      <c r="R127" s="29" t="str">
        <f>_xlfn.CONCAT(Tabla1[[#This Row],[ABR_01]],"00",Tabla1[[#This Row],[ABR_02]],Tabla1[[#This Row],[ZONA2]],,"0",Tabla1[[#This Row],[PARADA2]])</f>
        <v>AR00ER1012</v>
      </c>
      <c r="S127" s="37" t="s">
        <v>36</v>
      </c>
      <c r="T127" s="37" t="s">
        <v>36</v>
      </c>
      <c r="U127" s="10" t="s">
        <v>295</v>
      </c>
    </row>
    <row r="128" spans="2:21" x14ac:dyDescent="0.2">
      <c r="B128" s="19" t="s">
        <v>40</v>
      </c>
      <c r="C128" s="8" t="s">
        <v>311</v>
      </c>
      <c r="D128" s="17" t="s">
        <v>311</v>
      </c>
      <c r="E128" s="9" t="s">
        <v>294</v>
      </c>
      <c r="F128" s="10" t="s">
        <v>295</v>
      </c>
      <c r="G128" s="69" t="s">
        <v>616</v>
      </c>
      <c r="H128" s="73" t="s">
        <v>628</v>
      </c>
      <c r="I128" s="24" t="s">
        <v>27</v>
      </c>
      <c r="J128" s="24" t="s">
        <v>296</v>
      </c>
      <c r="K128" s="25" t="s">
        <v>29</v>
      </c>
      <c r="L128" s="25" t="s">
        <v>134</v>
      </c>
      <c r="M128" s="15" t="s">
        <v>31</v>
      </c>
      <c r="N128" s="16" t="str">
        <f>Tabla1[[#This Row],[ABR_02]]</f>
        <v>ER</v>
      </c>
      <c r="O128" t="s">
        <v>32</v>
      </c>
      <c r="P128" t="s">
        <v>33</v>
      </c>
      <c r="Q128" t="s">
        <v>32</v>
      </c>
      <c r="R128" s="29" t="str">
        <f>_xlfn.CONCAT(Tabla1[[#This Row],[ABR_01]],"00",Tabla1[[#This Row],[ABR_02]],Tabla1[[#This Row],[ZONA2]],,"0",Tabla1[[#This Row],[PARADA2]])</f>
        <v>AR00ER1013</v>
      </c>
      <c r="S128" s="37" t="s">
        <v>36</v>
      </c>
      <c r="T128" s="37" t="s">
        <v>36</v>
      </c>
      <c r="U128" s="10" t="s">
        <v>295</v>
      </c>
    </row>
    <row r="129" spans="2:21" x14ac:dyDescent="0.2">
      <c r="B129" s="19" t="s">
        <v>40</v>
      </c>
      <c r="C129" s="8" t="s">
        <v>312</v>
      </c>
      <c r="D129" s="17" t="s">
        <v>312</v>
      </c>
      <c r="E129" s="9" t="s">
        <v>294</v>
      </c>
      <c r="F129" s="10" t="s">
        <v>295</v>
      </c>
      <c r="G129" s="69" t="s">
        <v>616</v>
      </c>
      <c r="H129" s="73" t="s">
        <v>629</v>
      </c>
      <c r="I129" s="24" t="s">
        <v>27</v>
      </c>
      <c r="J129" s="24" t="s">
        <v>296</v>
      </c>
      <c r="K129" s="25" t="s">
        <v>29</v>
      </c>
      <c r="L129" s="25" t="s">
        <v>137</v>
      </c>
      <c r="M129" s="15" t="s">
        <v>31</v>
      </c>
      <c r="N129" s="16" t="str">
        <f>Tabla1[[#This Row],[ABR_02]]</f>
        <v>ER</v>
      </c>
      <c r="O129" t="s">
        <v>32</v>
      </c>
      <c r="P129" t="s">
        <v>33</v>
      </c>
      <c r="Q129" t="s">
        <v>32</v>
      </c>
      <c r="R129" s="29" t="str">
        <f>_xlfn.CONCAT(Tabla1[[#This Row],[ABR_01]],"00",Tabla1[[#This Row],[ABR_02]],Tabla1[[#This Row],[ZONA2]],,"0",Tabla1[[#This Row],[PARADA2]])</f>
        <v>AR00ER1014</v>
      </c>
      <c r="S129" s="37" t="s">
        <v>36</v>
      </c>
      <c r="T129" s="37" t="s">
        <v>36</v>
      </c>
      <c r="U129" s="10" t="s">
        <v>295</v>
      </c>
    </row>
    <row r="130" spans="2:21" x14ac:dyDescent="0.2">
      <c r="B130" s="19" t="s">
        <v>40</v>
      </c>
      <c r="C130" s="8" t="s">
        <v>313</v>
      </c>
      <c r="D130" s="12" t="s">
        <v>314</v>
      </c>
      <c r="E130" s="9" t="s">
        <v>294</v>
      </c>
      <c r="F130" s="10" t="s">
        <v>109</v>
      </c>
      <c r="G130" s="69" t="s">
        <v>630</v>
      </c>
      <c r="H130" s="73" t="s">
        <v>631</v>
      </c>
      <c r="I130" s="24" t="s">
        <v>27</v>
      </c>
      <c r="J130" s="24" t="s">
        <v>296</v>
      </c>
      <c r="K130" s="25" t="s">
        <v>29</v>
      </c>
      <c r="L130" s="25" t="s">
        <v>140</v>
      </c>
      <c r="M130" s="15" t="s">
        <v>31</v>
      </c>
      <c r="N130" s="16" t="str">
        <f>Tabla1[[#This Row],[ABR_02]]</f>
        <v>ER</v>
      </c>
      <c r="O130" t="s">
        <v>32</v>
      </c>
      <c r="P130" t="s">
        <v>33</v>
      </c>
      <c r="Q130" t="s">
        <v>32</v>
      </c>
      <c r="R130" s="29" t="str">
        <f>_xlfn.CONCAT(Tabla1[[#This Row],[ABR_01]],"00",Tabla1[[#This Row],[ABR_02]],Tabla1[[#This Row],[ZONA2]],,"0",Tabla1[[#This Row],[PARADA2]])</f>
        <v>AR00ER1015</v>
      </c>
      <c r="S130" s="37" t="s">
        <v>36</v>
      </c>
      <c r="T130" s="37" t="s">
        <v>36</v>
      </c>
      <c r="U130" s="10" t="s">
        <v>109</v>
      </c>
    </row>
    <row r="131" spans="2:21" x14ac:dyDescent="0.2">
      <c r="B131" s="19" t="s">
        <v>40</v>
      </c>
      <c r="C131" s="8" t="s">
        <v>315</v>
      </c>
      <c r="D131" s="12" t="s">
        <v>316</v>
      </c>
      <c r="E131" s="9" t="s">
        <v>317</v>
      </c>
      <c r="F131" s="10" t="s">
        <v>77</v>
      </c>
      <c r="G131" s="69" t="s">
        <v>632</v>
      </c>
      <c r="H131" s="73" t="s">
        <v>633</v>
      </c>
      <c r="I131" s="24" t="s">
        <v>27</v>
      </c>
      <c r="J131" s="24" t="s">
        <v>318</v>
      </c>
      <c r="K131" s="25" t="s">
        <v>29</v>
      </c>
      <c r="L131" s="25" t="s">
        <v>30</v>
      </c>
      <c r="M131" s="15" t="s">
        <v>31</v>
      </c>
      <c r="N131" s="16" t="str">
        <f>Tabla1[[#This Row],[ABR_02]]</f>
        <v>CR</v>
      </c>
      <c r="O131" t="s">
        <v>32</v>
      </c>
      <c r="P131" t="s">
        <v>33</v>
      </c>
      <c r="Q131" t="s">
        <v>57</v>
      </c>
      <c r="R131" s="29" t="str">
        <f>_xlfn.CONCAT(Tabla1[[#This Row],[ABR_01]],"00",Tabla1[[#This Row],[ABR_02]],Tabla1[[#This Row],[ZONA2]],,"0",Tabla1[[#This Row],[PARADA2]])</f>
        <v>AR00CR1001</v>
      </c>
      <c r="S131" s="37" t="s">
        <v>36</v>
      </c>
      <c r="T131" s="37" t="s">
        <v>36</v>
      </c>
      <c r="U131" s="10" t="s">
        <v>77</v>
      </c>
    </row>
    <row r="132" spans="2:21" x14ac:dyDescent="0.2">
      <c r="B132" s="19" t="s">
        <v>40</v>
      </c>
      <c r="C132" s="8" t="s">
        <v>319</v>
      </c>
      <c r="D132" s="17" t="s">
        <v>319</v>
      </c>
      <c r="E132" s="9" t="s">
        <v>317</v>
      </c>
      <c r="F132" s="10" t="s">
        <v>77</v>
      </c>
      <c r="G132" s="69" t="s">
        <v>632</v>
      </c>
      <c r="H132" s="73" t="s">
        <v>634</v>
      </c>
      <c r="I132" s="24" t="s">
        <v>27</v>
      </c>
      <c r="J132" s="24" t="s">
        <v>318</v>
      </c>
      <c r="K132" s="25" t="s">
        <v>29</v>
      </c>
      <c r="L132" s="25" t="s">
        <v>46</v>
      </c>
      <c r="M132" s="15" t="s">
        <v>31</v>
      </c>
      <c r="N132" s="16" t="str">
        <f>Tabla1[[#This Row],[ABR_02]]</f>
        <v>CR</v>
      </c>
      <c r="O132" t="s">
        <v>32</v>
      </c>
      <c r="P132" t="s">
        <v>33</v>
      </c>
      <c r="Q132" t="s">
        <v>57</v>
      </c>
      <c r="R132" s="29" t="str">
        <f>_xlfn.CONCAT(Tabla1[[#This Row],[ABR_01]],"00",Tabla1[[#This Row],[ABR_02]],Tabla1[[#This Row],[ZONA2]],,"0",Tabla1[[#This Row],[PARADA2]])</f>
        <v>AR00CR1002</v>
      </c>
      <c r="S132" s="37" t="s">
        <v>36</v>
      </c>
      <c r="T132" s="37" t="s">
        <v>36</v>
      </c>
      <c r="U132" s="10" t="s">
        <v>77</v>
      </c>
    </row>
    <row r="133" spans="2:21" x14ac:dyDescent="0.2">
      <c r="B133" s="19" t="s">
        <v>40</v>
      </c>
      <c r="C133" s="8" t="s">
        <v>320</v>
      </c>
      <c r="D133" s="17" t="s">
        <v>321</v>
      </c>
      <c r="E133" s="9" t="s">
        <v>317</v>
      </c>
      <c r="F133" s="10" t="s">
        <v>77</v>
      </c>
      <c r="G133" s="69" t="s">
        <v>632</v>
      </c>
      <c r="H133" s="73" t="s">
        <v>635</v>
      </c>
      <c r="I133" s="24" t="s">
        <v>27</v>
      </c>
      <c r="J133" s="24" t="s">
        <v>318</v>
      </c>
      <c r="K133" s="25" t="s">
        <v>29</v>
      </c>
      <c r="L133" s="25" t="s">
        <v>48</v>
      </c>
      <c r="M133" s="15" t="s">
        <v>31</v>
      </c>
      <c r="N133" s="16" t="str">
        <f>Tabla1[[#This Row],[ABR_02]]</f>
        <v>CR</v>
      </c>
      <c r="O133" t="s">
        <v>32</v>
      </c>
      <c r="P133" t="s">
        <v>33</v>
      </c>
      <c r="Q133" t="s">
        <v>57</v>
      </c>
      <c r="R133" s="29" t="str">
        <f>_xlfn.CONCAT(Tabla1[[#This Row],[ABR_01]],"00",Tabla1[[#This Row],[ABR_02]],Tabla1[[#This Row],[ZONA2]],,"0",Tabla1[[#This Row],[PARADA2]])</f>
        <v>AR00CR1003</v>
      </c>
      <c r="S133" s="37" t="s">
        <v>36</v>
      </c>
      <c r="T133" s="37" t="s">
        <v>36</v>
      </c>
      <c r="U133" s="10" t="s">
        <v>77</v>
      </c>
    </row>
    <row r="134" spans="2:21" x14ac:dyDescent="0.2">
      <c r="B134" s="19" t="s">
        <v>40</v>
      </c>
      <c r="C134" s="8" t="s">
        <v>322</v>
      </c>
      <c r="D134" s="8" t="s">
        <v>323</v>
      </c>
      <c r="E134" s="9" t="s">
        <v>324</v>
      </c>
      <c r="F134" s="10" t="s">
        <v>265</v>
      </c>
      <c r="G134" s="69" t="s">
        <v>636</v>
      </c>
      <c r="H134" s="73" t="s">
        <v>637</v>
      </c>
      <c r="I134" s="24" t="s">
        <v>27</v>
      </c>
      <c r="J134" s="24" t="s">
        <v>325</v>
      </c>
      <c r="K134" s="25" t="s">
        <v>29</v>
      </c>
      <c r="L134" s="25" t="s">
        <v>30</v>
      </c>
      <c r="M134" s="15" t="s">
        <v>31</v>
      </c>
      <c r="N134" s="16" t="str">
        <f>Tabla1[[#This Row],[ABR_02]]</f>
        <v>CB</v>
      </c>
      <c r="O134" t="s">
        <v>32</v>
      </c>
      <c r="P134" t="s">
        <v>33</v>
      </c>
      <c r="Q134" t="s">
        <v>32</v>
      </c>
      <c r="R134" s="29" t="str">
        <f>_xlfn.CONCAT(Tabla1[[#This Row],[ABR_01]],"00",Tabla1[[#This Row],[ABR_02]],Tabla1[[#This Row],[ZONA2]],,"0",Tabla1[[#This Row],[PARADA2]])</f>
        <v>AR00CB1001</v>
      </c>
      <c r="S134" s="37" t="s">
        <v>36</v>
      </c>
      <c r="T134" s="37" t="s">
        <v>36</v>
      </c>
      <c r="U134" s="10" t="s">
        <v>265</v>
      </c>
    </row>
    <row r="135" spans="2:21" x14ac:dyDescent="0.2">
      <c r="B135" s="19" t="s">
        <v>40</v>
      </c>
      <c r="C135" s="8" t="s">
        <v>326</v>
      </c>
      <c r="D135" s="8" t="s">
        <v>326</v>
      </c>
      <c r="E135" s="9" t="s">
        <v>324</v>
      </c>
      <c r="F135" s="10" t="s">
        <v>265</v>
      </c>
      <c r="G135" s="69" t="s">
        <v>636</v>
      </c>
      <c r="H135" s="73" t="s">
        <v>638</v>
      </c>
      <c r="I135" s="24" t="s">
        <v>27</v>
      </c>
      <c r="J135" s="24" t="s">
        <v>325</v>
      </c>
      <c r="K135" s="25" t="s">
        <v>29</v>
      </c>
      <c r="L135" s="25" t="s">
        <v>46</v>
      </c>
      <c r="M135" s="15" t="s">
        <v>31</v>
      </c>
      <c r="N135" s="16" t="str">
        <f>Tabla1[[#This Row],[ABR_02]]</f>
        <v>CB</v>
      </c>
      <c r="O135" t="s">
        <v>32</v>
      </c>
      <c r="P135" t="s">
        <v>33</v>
      </c>
      <c r="Q135" t="s">
        <v>32</v>
      </c>
      <c r="R135" s="29" t="str">
        <f>_xlfn.CONCAT(Tabla1[[#This Row],[ABR_01]],"00",Tabla1[[#This Row],[ABR_02]],Tabla1[[#This Row],[ZONA2]],,"0",Tabla1[[#This Row],[PARADA2]])</f>
        <v>AR00CB1002</v>
      </c>
      <c r="S135" s="37" t="s">
        <v>36</v>
      </c>
      <c r="T135" s="37" t="s">
        <v>36</v>
      </c>
      <c r="U135" s="10" t="s">
        <v>265</v>
      </c>
    </row>
    <row r="136" spans="2:21" x14ac:dyDescent="0.2">
      <c r="B136" s="19" t="s">
        <v>40</v>
      </c>
      <c r="C136" s="8" t="s">
        <v>327</v>
      </c>
      <c r="D136" s="8" t="s">
        <v>327</v>
      </c>
      <c r="E136" s="9" t="s">
        <v>324</v>
      </c>
      <c r="F136" s="10" t="s">
        <v>265</v>
      </c>
      <c r="G136" s="69" t="s">
        <v>636</v>
      </c>
      <c r="H136" s="73" t="s">
        <v>639</v>
      </c>
      <c r="I136" s="24" t="s">
        <v>27</v>
      </c>
      <c r="J136" s="24" t="s">
        <v>325</v>
      </c>
      <c r="K136" s="25" t="s">
        <v>29</v>
      </c>
      <c r="L136" s="25" t="s">
        <v>48</v>
      </c>
      <c r="M136" s="15" t="s">
        <v>31</v>
      </c>
      <c r="N136" s="16" t="str">
        <f>Tabla1[[#This Row],[ABR_02]]</f>
        <v>CB</v>
      </c>
      <c r="O136" t="s">
        <v>32</v>
      </c>
      <c r="P136" t="s">
        <v>33</v>
      </c>
      <c r="Q136" t="s">
        <v>32</v>
      </c>
      <c r="R136" s="29" t="str">
        <f>_xlfn.CONCAT(Tabla1[[#This Row],[ABR_01]],"00",Tabla1[[#This Row],[ABR_02]],Tabla1[[#This Row],[ZONA2]],,"0",Tabla1[[#This Row],[PARADA2]])</f>
        <v>AR00CB1003</v>
      </c>
      <c r="S136" s="37" t="s">
        <v>36</v>
      </c>
      <c r="T136" s="37" t="s">
        <v>36</v>
      </c>
      <c r="U136" s="10" t="s">
        <v>265</v>
      </c>
    </row>
    <row r="137" spans="2:21" x14ac:dyDescent="0.2">
      <c r="B137" s="19" t="s">
        <v>40</v>
      </c>
      <c r="C137" s="8" t="s">
        <v>328</v>
      </c>
      <c r="D137" s="8" t="s">
        <v>328</v>
      </c>
      <c r="E137" s="9" t="s">
        <v>324</v>
      </c>
      <c r="F137" s="10" t="s">
        <v>265</v>
      </c>
      <c r="G137" s="69" t="s">
        <v>636</v>
      </c>
      <c r="H137" s="73" t="s">
        <v>640</v>
      </c>
      <c r="I137" s="24" t="s">
        <v>27</v>
      </c>
      <c r="J137" s="24" t="s">
        <v>325</v>
      </c>
      <c r="K137" s="25" t="s">
        <v>29</v>
      </c>
      <c r="L137" s="25" t="s">
        <v>51</v>
      </c>
      <c r="M137" s="15" t="s">
        <v>31</v>
      </c>
      <c r="N137" s="16" t="str">
        <f>Tabla1[[#This Row],[ABR_02]]</f>
        <v>CB</v>
      </c>
      <c r="O137" t="s">
        <v>32</v>
      </c>
      <c r="P137" t="s">
        <v>33</v>
      </c>
      <c r="Q137" t="s">
        <v>32</v>
      </c>
      <c r="R137" s="29" t="str">
        <f>_xlfn.CONCAT(Tabla1[[#This Row],[ABR_01]],"00",Tabla1[[#This Row],[ABR_02]],Tabla1[[#This Row],[ZONA2]],,"0",Tabla1[[#This Row],[PARADA2]])</f>
        <v>AR00CB1004</v>
      </c>
      <c r="S137" s="37" t="s">
        <v>36</v>
      </c>
      <c r="T137" s="37" t="s">
        <v>36</v>
      </c>
      <c r="U137" s="10" t="s">
        <v>265</v>
      </c>
    </row>
    <row r="138" spans="2:21" x14ac:dyDescent="0.2">
      <c r="B138" s="19" t="s">
        <v>40</v>
      </c>
      <c r="C138" s="56" t="s">
        <v>329</v>
      </c>
      <c r="D138" s="56" t="s">
        <v>329</v>
      </c>
      <c r="E138" s="9" t="s">
        <v>324</v>
      </c>
      <c r="F138" s="10" t="s">
        <v>265</v>
      </c>
      <c r="G138" s="69" t="s">
        <v>636</v>
      </c>
      <c r="H138" s="73" t="s">
        <v>641</v>
      </c>
      <c r="I138" s="24" t="s">
        <v>27</v>
      </c>
      <c r="J138" s="24" t="s">
        <v>325</v>
      </c>
      <c r="K138" s="25" t="s">
        <v>29</v>
      </c>
      <c r="L138" s="25" t="s">
        <v>65</v>
      </c>
      <c r="M138" s="15" t="s">
        <v>31</v>
      </c>
      <c r="N138" s="16" t="str">
        <f>Tabla1[[#This Row],[ABR_02]]</f>
        <v>CB</v>
      </c>
      <c r="O138" t="s">
        <v>32</v>
      </c>
      <c r="P138" t="s">
        <v>33</v>
      </c>
      <c r="Q138" t="s">
        <v>32</v>
      </c>
      <c r="R138" s="29" t="str">
        <f>_xlfn.CONCAT(Tabla1[[#This Row],[ABR_01]],"00",Tabla1[[#This Row],[ABR_02]],Tabla1[[#This Row],[ZONA2]],,"0",Tabla1[[#This Row],[PARADA2]])</f>
        <v>AR00CB1005</v>
      </c>
      <c r="S138" s="37" t="s">
        <v>36</v>
      </c>
      <c r="T138" s="37" t="s">
        <v>36</v>
      </c>
      <c r="U138" s="10" t="s">
        <v>265</v>
      </c>
    </row>
    <row r="139" spans="2:21" x14ac:dyDescent="0.2">
      <c r="B139" s="19" t="s">
        <v>40</v>
      </c>
      <c r="C139" s="8" t="s">
        <v>330</v>
      </c>
      <c r="D139" s="8" t="s">
        <v>331</v>
      </c>
      <c r="E139" s="9" t="s">
        <v>324</v>
      </c>
      <c r="F139" s="10" t="s">
        <v>265</v>
      </c>
      <c r="G139" s="69" t="s">
        <v>636</v>
      </c>
      <c r="H139" s="73" t="s">
        <v>642</v>
      </c>
      <c r="I139" s="24" t="s">
        <v>27</v>
      </c>
      <c r="J139" s="24" t="s">
        <v>325</v>
      </c>
      <c r="K139" s="25" t="s">
        <v>29</v>
      </c>
      <c r="L139" s="25" t="s">
        <v>67</v>
      </c>
      <c r="M139" s="15" t="s">
        <v>31</v>
      </c>
      <c r="N139" s="16" t="str">
        <f>Tabla1[[#This Row],[ABR_02]]</f>
        <v>CB</v>
      </c>
      <c r="O139" t="s">
        <v>32</v>
      </c>
      <c r="P139" t="s">
        <v>33</v>
      </c>
      <c r="Q139" t="s">
        <v>32</v>
      </c>
      <c r="R139" s="29" t="str">
        <f>_xlfn.CONCAT(Tabla1[[#This Row],[ABR_01]],"00",Tabla1[[#This Row],[ABR_02]],Tabla1[[#This Row],[ZONA2]],,"0",Tabla1[[#This Row],[PARADA2]])</f>
        <v>AR00CB1006</v>
      </c>
      <c r="S139" s="37" t="s">
        <v>36</v>
      </c>
      <c r="T139" s="37" t="s">
        <v>36</v>
      </c>
      <c r="U139" s="10" t="s">
        <v>265</v>
      </c>
    </row>
    <row r="140" spans="2:21" x14ac:dyDescent="0.2">
      <c r="B140" s="19" t="s">
        <v>40</v>
      </c>
      <c r="C140" s="8" t="s">
        <v>332</v>
      </c>
      <c r="D140" s="8" t="s">
        <v>332</v>
      </c>
      <c r="E140" s="9" t="s">
        <v>324</v>
      </c>
      <c r="F140" s="10" t="s">
        <v>265</v>
      </c>
      <c r="G140" s="69" t="s">
        <v>636</v>
      </c>
      <c r="H140" s="73" t="s">
        <v>643</v>
      </c>
      <c r="I140" s="24" t="s">
        <v>27</v>
      </c>
      <c r="J140" s="24" t="s">
        <v>325</v>
      </c>
      <c r="K140" s="25" t="s">
        <v>29</v>
      </c>
      <c r="L140" s="25" t="s">
        <v>70</v>
      </c>
      <c r="M140" s="15" t="s">
        <v>31</v>
      </c>
      <c r="N140" s="16" t="str">
        <f>Tabla1[[#This Row],[ABR_02]]</f>
        <v>CB</v>
      </c>
      <c r="O140" t="s">
        <v>32</v>
      </c>
      <c r="P140" t="s">
        <v>33</v>
      </c>
      <c r="Q140" t="s">
        <v>32</v>
      </c>
      <c r="R140" s="29" t="str">
        <f>_xlfn.CONCAT(Tabla1[[#This Row],[ABR_01]],"00",Tabla1[[#This Row],[ABR_02]],Tabla1[[#This Row],[ZONA2]],,"0",Tabla1[[#This Row],[PARADA2]])</f>
        <v>AR00CB1007</v>
      </c>
      <c r="S140" s="37" t="s">
        <v>36</v>
      </c>
      <c r="T140" s="37" t="s">
        <v>36</v>
      </c>
      <c r="U140" s="10" t="s">
        <v>265</v>
      </c>
    </row>
    <row r="141" spans="2:21" x14ac:dyDescent="0.2">
      <c r="B141" s="19" t="s">
        <v>40</v>
      </c>
      <c r="C141" s="56" t="s">
        <v>333</v>
      </c>
      <c r="D141" s="56" t="s">
        <v>334</v>
      </c>
      <c r="E141" s="9" t="s">
        <v>324</v>
      </c>
      <c r="F141" s="10" t="s">
        <v>265</v>
      </c>
      <c r="G141" s="69" t="s">
        <v>636</v>
      </c>
      <c r="H141" s="73" t="s">
        <v>644</v>
      </c>
      <c r="I141" s="24" t="s">
        <v>27</v>
      </c>
      <c r="J141" s="24" t="s">
        <v>325</v>
      </c>
      <c r="K141" s="25" t="s">
        <v>29</v>
      </c>
      <c r="L141" s="25" t="s">
        <v>73</v>
      </c>
      <c r="M141" s="15" t="s">
        <v>31</v>
      </c>
      <c r="N141" s="16" t="str">
        <f>Tabla1[[#This Row],[ABR_02]]</f>
        <v>CB</v>
      </c>
      <c r="O141" t="s">
        <v>32</v>
      </c>
      <c r="P141" t="s">
        <v>33</v>
      </c>
      <c r="Q141" t="s">
        <v>32</v>
      </c>
      <c r="R141" s="29" t="str">
        <f>_xlfn.CONCAT(Tabla1[[#This Row],[ABR_01]],"00",Tabla1[[#This Row],[ABR_02]],Tabla1[[#This Row],[ZONA2]],,"0",Tabla1[[#This Row],[PARADA2]])</f>
        <v>AR00CB1008</v>
      </c>
      <c r="S141" s="37" t="s">
        <v>36</v>
      </c>
      <c r="T141" s="37" t="s">
        <v>36</v>
      </c>
      <c r="U141" s="10" t="s">
        <v>265</v>
      </c>
    </row>
    <row r="142" spans="2:21" x14ac:dyDescent="0.2">
      <c r="B142" s="19" t="s">
        <v>40</v>
      </c>
      <c r="C142" s="8" t="s">
        <v>335</v>
      </c>
      <c r="D142" s="8" t="s">
        <v>336</v>
      </c>
      <c r="E142" s="9" t="s">
        <v>324</v>
      </c>
      <c r="F142" s="10" t="s">
        <v>265</v>
      </c>
      <c r="G142" s="69" t="s">
        <v>636</v>
      </c>
      <c r="H142" s="73" t="s">
        <v>645</v>
      </c>
      <c r="I142" s="24" t="s">
        <v>27</v>
      </c>
      <c r="J142" s="24" t="s">
        <v>325</v>
      </c>
      <c r="K142" s="25" t="s">
        <v>29</v>
      </c>
      <c r="L142" s="25" t="s">
        <v>125</v>
      </c>
      <c r="M142" s="15" t="s">
        <v>31</v>
      </c>
      <c r="N142" s="16" t="str">
        <f>Tabla1[[#This Row],[ABR_02]]</f>
        <v>CB</v>
      </c>
      <c r="O142" t="s">
        <v>32</v>
      </c>
      <c r="P142" t="s">
        <v>33</v>
      </c>
      <c r="Q142" t="s">
        <v>32</v>
      </c>
      <c r="R142" s="29" t="str">
        <f>_xlfn.CONCAT(Tabla1[[#This Row],[ABR_01]],"00",Tabla1[[#This Row],[ABR_02]],Tabla1[[#This Row],[ZONA2]],,"0",Tabla1[[#This Row],[PARADA2]])</f>
        <v>AR00CB1009</v>
      </c>
      <c r="S142" s="37" t="s">
        <v>36</v>
      </c>
      <c r="T142" s="37" t="s">
        <v>36</v>
      </c>
      <c r="U142" s="10" t="s">
        <v>265</v>
      </c>
    </row>
    <row r="143" spans="2:21" x14ac:dyDescent="0.2">
      <c r="B143" s="19" t="s">
        <v>40</v>
      </c>
      <c r="C143" s="8" t="s">
        <v>337</v>
      </c>
      <c r="D143" s="8" t="s">
        <v>337</v>
      </c>
      <c r="E143" s="9" t="s">
        <v>324</v>
      </c>
      <c r="F143" s="10" t="s">
        <v>265</v>
      </c>
      <c r="G143" s="69" t="s">
        <v>636</v>
      </c>
      <c r="H143" s="73" t="s">
        <v>646</v>
      </c>
      <c r="I143" s="24" t="s">
        <v>27</v>
      </c>
      <c r="J143" s="24" t="s">
        <v>325</v>
      </c>
      <c r="K143" s="25" t="s">
        <v>29</v>
      </c>
      <c r="L143" s="25" t="s">
        <v>128</v>
      </c>
      <c r="M143" s="15" t="s">
        <v>31</v>
      </c>
      <c r="N143" s="16" t="str">
        <f>Tabla1[[#This Row],[ABR_02]]</f>
        <v>CB</v>
      </c>
      <c r="O143" t="s">
        <v>32</v>
      </c>
      <c r="P143" t="s">
        <v>33</v>
      </c>
      <c r="Q143" t="s">
        <v>32</v>
      </c>
      <c r="R143" s="29" t="str">
        <f>_xlfn.CONCAT(Tabla1[[#This Row],[ABR_01]],"00",Tabla1[[#This Row],[ABR_02]],Tabla1[[#This Row],[ZONA2]],,"0",Tabla1[[#This Row],[PARADA2]])</f>
        <v>AR00CB1010</v>
      </c>
      <c r="S143" s="37" t="s">
        <v>36</v>
      </c>
      <c r="T143" s="37" t="s">
        <v>36</v>
      </c>
      <c r="U143" s="10" t="s">
        <v>265</v>
      </c>
    </row>
    <row r="144" spans="2:21" x14ac:dyDescent="0.2">
      <c r="B144" s="19" t="s">
        <v>40</v>
      </c>
      <c r="C144" s="8" t="s">
        <v>338</v>
      </c>
      <c r="D144" s="8" t="s">
        <v>338</v>
      </c>
      <c r="E144" s="9" t="s">
        <v>324</v>
      </c>
      <c r="F144" s="10" t="s">
        <v>265</v>
      </c>
      <c r="G144" s="69" t="s">
        <v>636</v>
      </c>
      <c r="H144" s="73" t="s">
        <v>647</v>
      </c>
      <c r="I144" s="24" t="s">
        <v>27</v>
      </c>
      <c r="J144" s="24" t="s">
        <v>325</v>
      </c>
      <c r="K144" s="25" t="s">
        <v>29</v>
      </c>
      <c r="L144" s="25" t="s">
        <v>130</v>
      </c>
      <c r="M144" s="15" t="s">
        <v>31</v>
      </c>
      <c r="N144" s="16" t="str">
        <f>Tabla1[[#This Row],[ABR_02]]</f>
        <v>CB</v>
      </c>
      <c r="O144" t="s">
        <v>32</v>
      </c>
      <c r="P144" t="s">
        <v>33</v>
      </c>
      <c r="Q144" t="s">
        <v>32</v>
      </c>
      <c r="R144" s="29" t="str">
        <f>_xlfn.CONCAT(Tabla1[[#This Row],[ABR_01]],"00",Tabla1[[#This Row],[ABR_02]],Tabla1[[#This Row],[ZONA2]],,"0",Tabla1[[#This Row],[PARADA2]])</f>
        <v>AR00CB1011</v>
      </c>
      <c r="S144" s="37" t="s">
        <v>36</v>
      </c>
      <c r="T144" s="37" t="s">
        <v>36</v>
      </c>
      <c r="U144" s="10" t="s">
        <v>265</v>
      </c>
    </row>
    <row r="145" spans="2:21" x14ac:dyDescent="0.2">
      <c r="B145" s="19" t="s">
        <v>40</v>
      </c>
      <c r="C145" s="8" t="s">
        <v>339</v>
      </c>
      <c r="D145" s="8" t="s">
        <v>339</v>
      </c>
      <c r="E145" s="9" t="s">
        <v>324</v>
      </c>
      <c r="F145" s="10" t="s">
        <v>265</v>
      </c>
      <c r="G145" s="69" t="s">
        <v>636</v>
      </c>
      <c r="H145" s="73" t="s">
        <v>648</v>
      </c>
      <c r="I145" s="24" t="s">
        <v>27</v>
      </c>
      <c r="J145" s="24" t="s">
        <v>325</v>
      </c>
      <c r="K145" s="25" t="s">
        <v>29</v>
      </c>
      <c r="L145" s="25" t="s">
        <v>132</v>
      </c>
      <c r="M145" s="15" t="s">
        <v>31</v>
      </c>
      <c r="N145" s="16" t="str">
        <f>Tabla1[[#This Row],[ABR_02]]</f>
        <v>CB</v>
      </c>
      <c r="O145" t="s">
        <v>32</v>
      </c>
      <c r="P145" t="s">
        <v>33</v>
      </c>
      <c r="Q145" t="s">
        <v>32</v>
      </c>
      <c r="R145" s="29" t="str">
        <f>_xlfn.CONCAT(Tabla1[[#This Row],[ABR_01]],"00",Tabla1[[#This Row],[ABR_02]],Tabla1[[#This Row],[ZONA2]],,"0",Tabla1[[#This Row],[PARADA2]])</f>
        <v>AR00CB1012</v>
      </c>
      <c r="S145" s="37" t="s">
        <v>36</v>
      </c>
      <c r="T145" s="37" t="s">
        <v>36</v>
      </c>
      <c r="U145" s="10" t="s">
        <v>265</v>
      </c>
    </row>
    <row r="146" spans="2:21" x14ac:dyDescent="0.2">
      <c r="B146" s="19" t="s">
        <v>40</v>
      </c>
      <c r="C146" s="8" t="s">
        <v>340</v>
      </c>
      <c r="D146" s="8" t="s">
        <v>340</v>
      </c>
      <c r="E146" s="9" t="s">
        <v>324</v>
      </c>
      <c r="F146" s="10" t="s">
        <v>265</v>
      </c>
      <c r="G146" s="69" t="s">
        <v>636</v>
      </c>
      <c r="H146" s="73" t="s">
        <v>649</v>
      </c>
      <c r="I146" s="24" t="s">
        <v>27</v>
      </c>
      <c r="J146" s="24" t="s">
        <v>325</v>
      </c>
      <c r="K146" s="25" t="s">
        <v>29</v>
      </c>
      <c r="L146" s="25" t="s">
        <v>134</v>
      </c>
      <c r="M146" s="15" t="s">
        <v>31</v>
      </c>
      <c r="N146" s="16" t="str">
        <f>Tabla1[[#This Row],[ABR_02]]</f>
        <v>CB</v>
      </c>
      <c r="O146" t="s">
        <v>32</v>
      </c>
      <c r="P146" t="s">
        <v>33</v>
      </c>
      <c r="Q146" t="s">
        <v>32</v>
      </c>
      <c r="R146" s="29" t="str">
        <f>_xlfn.CONCAT(Tabla1[[#This Row],[ABR_01]],"00",Tabla1[[#This Row],[ABR_02]],Tabla1[[#This Row],[ZONA2]],,"0",Tabla1[[#This Row],[PARADA2]])</f>
        <v>AR00CB1013</v>
      </c>
      <c r="S146" s="37" t="s">
        <v>36</v>
      </c>
      <c r="T146" s="37" t="s">
        <v>36</v>
      </c>
      <c r="U146" s="10" t="s">
        <v>265</v>
      </c>
    </row>
    <row r="147" spans="2:21" x14ac:dyDescent="0.2">
      <c r="B147" s="19" t="s">
        <v>40</v>
      </c>
      <c r="C147" s="8" t="s">
        <v>341</v>
      </c>
      <c r="D147" s="8" t="s">
        <v>341</v>
      </c>
      <c r="E147" s="9" t="s">
        <v>324</v>
      </c>
      <c r="F147" s="10" t="s">
        <v>265</v>
      </c>
      <c r="G147" s="69" t="s">
        <v>636</v>
      </c>
      <c r="H147" s="73" t="s">
        <v>650</v>
      </c>
      <c r="I147" s="24" t="s">
        <v>27</v>
      </c>
      <c r="J147" s="24" t="s">
        <v>325</v>
      </c>
      <c r="K147" s="25" t="s">
        <v>29</v>
      </c>
      <c r="L147" s="25" t="s">
        <v>137</v>
      </c>
      <c r="M147" s="15" t="s">
        <v>31</v>
      </c>
      <c r="N147" s="16" t="str">
        <f>Tabla1[[#This Row],[ABR_02]]</f>
        <v>CB</v>
      </c>
      <c r="O147" t="s">
        <v>32</v>
      </c>
      <c r="P147" t="s">
        <v>33</v>
      </c>
      <c r="Q147" t="s">
        <v>32</v>
      </c>
      <c r="R147" s="29" t="str">
        <f>_xlfn.CONCAT(Tabla1[[#This Row],[ABR_01]],"00",Tabla1[[#This Row],[ABR_02]],Tabla1[[#This Row],[ZONA2]],,"0",Tabla1[[#This Row],[PARADA2]])</f>
        <v>AR00CB1014</v>
      </c>
      <c r="S147" s="37" t="s">
        <v>36</v>
      </c>
      <c r="T147" s="37" t="s">
        <v>36</v>
      </c>
      <c r="U147" s="10" t="s">
        <v>265</v>
      </c>
    </row>
    <row r="148" spans="2:21" x14ac:dyDescent="0.2">
      <c r="B148" s="19" t="s">
        <v>40</v>
      </c>
      <c r="C148" s="8" t="s">
        <v>342</v>
      </c>
      <c r="D148" s="8" t="s">
        <v>342</v>
      </c>
      <c r="E148" s="9" t="s">
        <v>324</v>
      </c>
      <c r="F148" s="10" t="s">
        <v>265</v>
      </c>
      <c r="G148" s="69" t="s">
        <v>636</v>
      </c>
      <c r="H148" s="73" t="s">
        <v>651</v>
      </c>
      <c r="I148" s="24" t="s">
        <v>27</v>
      </c>
      <c r="J148" s="24" t="s">
        <v>325</v>
      </c>
      <c r="K148" s="25" t="s">
        <v>29</v>
      </c>
      <c r="L148" s="25" t="s">
        <v>140</v>
      </c>
      <c r="M148" s="15" t="s">
        <v>31</v>
      </c>
      <c r="N148" s="16" t="str">
        <f>Tabla1[[#This Row],[ABR_02]]</f>
        <v>CB</v>
      </c>
      <c r="O148" t="s">
        <v>32</v>
      </c>
      <c r="P148" t="s">
        <v>33</v>
      </c>
      <c r="Q148" t="s">
        <v>32</v>
      </c>
      <c r="R148" s="29" t="str">
        <f>_xlfn.CONCAT(Tabla1[[#This Row],[ABR_01]],"00",Tabla1[[#This Row],[ABR_02]],Tabla1[[#This Row],[ZONA2]],,"0",Tabla1[[#This Row],[PARADA2]])</f>
        <v>AR00CB1015</v>
      </c>
      <c r="S148" s="37" t="s">
        <v>36</v>
      </c>
      <c r="T148" s="37" t="s">
        <v>36</v>
      </c>
      <c r="U148" s="10" t="s">
        <v>265</v>
      </c>
    </row>
    <row r="149" spans="2:21" x14ac:dyDescent="0.2">
      <c r="B149" s="19" t="s">
        <v>40</v>
      </c>
      <c r="C149" s="8" t="s">
        <v>343</v>
      </c>
      <c r="D149" s="8" t="s">
        <v>344</v>
      </c>
      <c r="E149" s="9" t="s">
        <v>324</v>
      </c>
      <c r="F149" s="10" t="s">
        <v>265</v>
      </c>
      <c r="G149" s="69" t="s">
        <v>636</v>
      </c>
      <c r="H149" s="73" t="s">
        <v>652</v>
      </c>
      <c r="I149" s="24" t="s">
        <v>27</v>
      </c>
      <c r="J149" s="24" t="s">
        <v>325</v>
      </c>
      <c r="K149" s="25" t="s">
        <v>29</v>
      </c>
      <c r="L149" s="25" t="s">
        <v>143</v>
      </c>
      <c r="M149" s="15" t="s">
        <v>31</v>
      </c>
      <c r="N149" s="16" t="str">
        <f>Tabla1[[#This Row],[ABR_02]]</f>
        <v>CB</v>
      </c>
      <c r="O149" t="s">
        <v>32</v>
      </c>
      <c r="P149" t="s">
        <v>33</v>
      </c>
      <c r="Q149" t="s">
        <v>32</v>
      </c>
      <c r="R149" s="29" t="str">
        <f>_xlfn.CONCAT(Tabla1[[#This Row],[ABR_01]],"00",Tabla1[[#This Row],[ABR_02]],Tabla1[[#This Row],[ZONA2]],,"0",Tabla1[[#This Row],[PARADA2]])</f>
        <v>AR00CB1016</v>
      </c>
      <c r="S149" s="37" t="s">
        <v>36</v>
      </c>
      <c r="T149" s="37" t="s">
        <v>36</v>
      </c>
      <c r="U149" s="10" t="s">
        <v>265</v>
      </c>
    </row>
    <row r="150" spans="2:21" x14ac:dyDescent="0.2">
      <c r="B150" s="19" t="s">
        <v>40</v>
      </c>
      <c r="C150" s="8" t="s">
        <v>345</v>
      </c>
      <c r="D150" s="8" t="s">
        <v>346</v>
      </c>
      <c r="E150" s="9" t="s">
        <v>324</v>
      </c>
      <c r="F150" s="10" t="s">
        <v>265</v>
      </c>
      <c r="G150" s="69" t="s">
        <v>636</v>
      </c>
      <c r="H150" s="73" t="s">
        <v>653</v>
      </c>
      <c r="I150" s="24" t="s">
        <v>27</v>
      </c>
      <c r="J150" s="24" t="s">
        <v>325</v>
      </c>
      <c r="K150" s="25" t="s">
        <v>29</v>
      </c>
      <c r="L150" s="25" t="s">
        <v>146</v>
      </c>
      <c r="M150" s="15" t="s">
        <v>31</v>
      </c>
      <c r="N150" s="16" t="str">
        <f>Tabla1[[#This Row],[ABR_02]]</f>
        <v>CB</v>
      </c>
      <c r="O150" t="s">
        <v>32</v>
      </c>
      <c r="P150" t="s">
        <v>33</v>
      </c>
      <c r="Q150" t="s">
        <v>32</v>
      </c>
      <c r="R150" s="29" t="str">
        <f>_xlfn.CONCAT(Tabla1[[#This Row],[ABR_01]],"00",Tabla1[[#This Row],[ABR_02]],Tabla1[[#This Row],[ZONA2]],,"0",Tabla1[[#This Row],[PARADA2]])</f>
        <v>AR00CB1017</v>
      </c>
      <c r="S150" s="37" t="s">
        <v>36</v>
      </c>
      <c r="T150" s="37" t="s">
        <v>36</v>
      </c>
      <c r="U150" s="10" t="s">
        <v>265</v>
      </c>
    </row>
    <row r="151" spans="2:21" x14ac:dyDescent="0.2">
      <c r="B151" s="19" t="s">
        <v>40</v>
      </c>
      <c r="C151" s="8" t="s">
        <v>347</v>
      </c>
      <c r="D151" s="8" t="s">
        <v>348</v>
      </c>
      <c r="E151" s="9" t="s">
        <v>324</v>
      </c>
      <c r="F151" s="10" t="s">
        <v>265</v>
      </c>
      <c r="G151" s="69" t="s">
        <v>636</v>
      </c>
      <c r="H151" s="73" t="s">
        <v>654</v>
      </c>
      <c r="I151" s="24" t="s">
        <v>27</v>
      </c>
      <c r="J151" s="24" t="s">
        <v>325</v>
      </c>
      <c r="K151" s="25" t="s">
        <v>29</v>
      </c>
      <c r="L151" s="25" t="s">
        <v>148</v>
      </c>
      <c r="M151" s="15" t="s">
        <v>31</v>
      </c>
      <c r="N151" s="16" t="str">
        <f>Tabla1[[#This Row],[ABR_02]]</f>
        <v>CB</v>
      </c>
      <c r="O151" t="s">
        <v>32</v>
      </c>
      <c r="P151" t="s">
        <v>33</v>
      </c>
      <c r="Q151" t="s">
        <v>32</v>
      </c>
      <c r="R151" s="29" t="str">
        <f>_xlfn.CONCAT(Tabla1[[#This Row],[ABR_01]],"00",Tabla1[[#This Row],[ABR_02]],Tabla1[[#This Row],[ZONA2]],,"0",Tabla1[[#This Row],[PARADA2]])</f>
        <v>AR00CB1018</v>
      </c>
      <c r="S151" s="37" t="s">
        <v>36</v>
      </c>
      <c r="T151" s="37" t="s">
        <v>36</v>
      </c>
      <c r="U151" s="10" t="s">
        <v>265</v>
      </c>
    </row>
    <row r="152" spans="2:21" x14ac:dyDescent="0.2">
      <c r="B152" s="19" t="s">
        <v>40</v>
      </c>
      <c r="C152" s="8" t="s">
        <v>349</v>
      </c>
      <c r="D152" s="8" t="s">
        <v>350</v>
      </c>
      <c r="E152" s="9" t="s">
        <v>324</v>
      </c>
      <c r="F152" s="10" t="s">
        <v>265</v>
      </c>
      <c r="G152" s="69" t="s">
        <v>636</v>
      </c>
      <c r="H152" s="73" t="s">
        <v>655</v>
      </c>
      <c r="I152" s="24" t="s">
        <v>27</v>
      </c>
      <c r="J152" s="24" t="s">
        <v>325</v>
      </c>
      <c r="K152" s="25" t="s">
        <v>29</v>
      </c>
      <c r="L152" s="25" t="s">
        <v>151</v>
      </c>
      <c r="M152" s="15" t="s">
        <v>31</v>
      </c>
      <c r="N152" s="16" t="str">
        <f>Tabla1[[#This Row],[ABR_02]]</f>
        <v>CB</v>
      </c>
      <c r="O152" t="s">
        <v>32</v>
      </c>
      <c r="P152" t="s">
        <v>33</v>
      </c>
      <c r="Q152" t="s">
        <v>32</v>
      </c>
      <c r="R152" s="29" t="str">
        <f>_xlfn.CONCAT(Tabla1[[#This Row],[ABR_01]],"00",Tabla1[[#This Row],[ABR_02]],Tabla1[[#This Row],[ZONA2]],,"0",Tabla1[[#This Row],[PARADA2]])</f>
        <v>AR00CB1019</v>
      </c>
      <c r="S152" s="37" t="s">
        <v>36</v>
      </c>
      <c r="T152" s="37" t="s">
        <v>36</v>
      </c>
      <c r="U152" s="10" t="s">
        <v>265</v>
      </c>
    </row>
    <row r="153" spans="2:21" x14ac:dyDescent="0.2">
      <c r="B153" s="19" t="s">
        <v>40</v>
      </c>
      <c r="C153" s="8" t="s">
        <v>351</v>
      </c>
      <c r="D153" s="8" t="s">
        <v>351</v>
      </c>
      <c r="E153" s="9" t="s">
        <v>324</v>
      </c>
      <c r="F153" s="10" t="s">
        <v>265</v>
      </c>
      <c r="G153" s="69" t="s">
        <v>636</v>
      </c>
      <c r="H153" s="73" t="s">
        <v>656</v>
      </c>
      <c r="I153" s="24" t="s">
        <v>27</v>
      </c>
      <c r="J153" s="24" t="s">
        <v>325</v>
      </c>
      <c r="K153" s="25" t="s">
        <v>29</v>
      </c>
      <c r="L153" s="25" t="s">
        <v>153</v>
      </c>
      <c r="M153" s="15" t="s">
        <v>31</v>
      </c>
      <c r="N153" s="16" t="str">
        <f>Tabla1[[#This Row],[ABR_02]]</f>
        <v>CB</v>
      </c>
      <c r="O153" t="s">
        <v>32</v>
      </c>
      <c r="P153" t="s">
        <v>33</v>
      </c>
      <c r="Q153" t="s">
        <v>32</v>
      </c>
      <c r="R153" s="29" t="str">
        <f>_xlfn.CONCAT(Tabla1[[#This Row],[ABR_01]],"00",Tabla1[[#This Row],[ABR_02]],Tabla1[[#This Row],[ZONA2]],,"0",Tabla1[[#This Row],[PARADA2]])</f>
        <v>AR00CB1020</v>
      </c>
      <c r="S153" s="37" t="s">
        <v>36</v>
      </c>
      <c r="T153" s="37" t="s">
        <v>36</v>
      </c>
      <c r="U153" s="10" t="s">
        <v>265</v>
      </c>
    </row>
    <row r="154" spans="2:21" x14ac:dyDescent="0.2">
      <c r="B154" s="19" t="s">
        <v>40</v>
      </c>
      <c r="C154" s="8" t="s">
        <v>352</v>
      </c>
      <c r="D154" s="17" t="s">
        <v>353</v>
      </c>
      <c r="E154" s="9" t="s">
        <v>324</v>
      </c>
      <c r="F154" s="10" t="s">
        <v>265</v>
      </c>
      <c r="G154" s="69" t="s">
        <v>636</v>
      </c>
      <c r="H154" s="73" t="s">
        <v>657</v>
      </c>
      <c r="I154" s="24" t="s">
        <v>27</v>
      </c>
      <c r="J154" s="24" t="s">
        <v>325</v>
      </c>
      <c r="K154" s="25" t="s">
        <v>29</v>
      </c>
      <c r="L154" s="25" t="s">
        <v>156</v>
      </c>
      <c r="M154" s="15" t="s">
        <v>31</v>
      </c>
      <c r="N154" s="16" t="str">
        <f>Tabla1[[#This Row],[ABR_02]]</f>
        <v>CB</v>
      </c>
      <c r="O154" t="s">
        <v>32</v>
      </c>
      <c r="P154" t="s">
        <v>33</v>
      </c>
      <c r="Q154" t="s">
        <v>32</v>
      </c>
      <c r="R154" s="29" t="str">
        <f>_xlfn.CONCAT(Tabla1[[#This Row],[ABR_01]],"00",Tabla1[[#This Row],[ABR_02]],Tabla1[[#This Row],[ZONA2]],,"0",Tabla1[[#This Row],[PARADA2]])</f>
        <v>AR00CB1021</v>
      </c>
      <c r="S154" s="37" t="s">
        <v>36</v>
      </c>
      <c r="T154" s="37" t="s">
        <v>36</v>
      </c>
      <c r="U154" s="10" t="s">
        <v>265</v>
      </c>
    </row>
    <row r="155" spans="2:21" x14ac:dyDescent="0.2">
      <c r="B155" s="19" t="s">
        <v>40</v>
      </c>
      <c r="C155" s="8" t="s">
        <v>354</v>
      </c>
      <c r="D155" s="17" t="s">
        <v>355</v>
      </c>
      <c r="E155" s="9" t="s">
        <v>324</v>
      </c>
      <c r="F155" s="10" t="s">
        <v>265</v>
      </c>
      <c r="G155" s="69" t="s">
        <v>636</v>
      </c>
      <c r="H155" s="73" t="s">
        <v>658</v>
      </c>
      <c r="I155" s="24" t="s">
        <v>27</v>
      </c>
      <c r="J155" s="24" t="s">
        <v>325</v>
      </c>
      <c r="K155" s="25" t="s">
        <v>29</v>
      </c>
      <c r="L155" s="25" t="s">
        <v>158</v>
      </c>
      <c r="M155" s="15" t="s">
        <v>31</v>
      </c>
      <c r="N155" s="16" t="str">
        <f>Tabla1[[#This Row],[ABR_02]]</f>
        <v>CB</v>
      </c>
      <c r="O155" t="s">
        <v>32</v>
      </c>
      <c r="P155" t="s">
        <v>33</v>
      </c>
      <c r="Q155" t="s">
        <v>32</v>
      </c>
      <c r="R155" s="29" t="str">
        <f>_xlfn.CONCAT(Tabla1[[#This Row],[ABR_01]],"00",Tabla1[[#This Row],[ABR_02]],Tabla1[[#This Row],[ZONA2]],,"0",Tabla1[[#This Row],[PARADA2]])</f>
        <v>AR00CB1022</v>
      </c>
      <c r="S155" s="37" t="s">
        <v>36</v>
      </c>
      <c r="T155" s="37" t="s">
        <v>36</v>
      </c>
      <c r="U155" s="10" t="s">
        <v>265</v>
      </c>
    </row>
    <row r="156" spans="2:21" x14ac:dyDescent="0.2">
      <c r="B156" s="19" t="s">
        <v>40</v>
      </c>
      <c r="C156" s="8" t="s">
        <v>356</v>
      </c>
      <c r="D156" s="17" t="s">
        <v>357</v>
      </c>
      <c r="E156" s="9" t="s">
        <v>324</v>
      </c>
      <c r="F156" s="10" t="s">
        <v>265</v>
      </c>
      <c r="G156" s="69" t="s">
        <v>636</v>
      </c>
      <c r="H156" s="73" t="s">
        <v>659</v>
      </c>
      <c r="I156" s="24" t="s">
        <v>27</v>
      </c>
      <c r="J156" s="24" t="s">
        <v>325</v>
      </c>
      <c r="K156" s="25" t="s">
        <v>29</v>
      </c>
      <c r="L156" s="25" t="s">
        <v>161</v>
      </c>
      <c r="M156" s="15" t="s">
        <v>31</v>
      </c>
      <c r="N156" s="16" t="str">
        <f>Tabla1[[#This Row],[ABR_02]]</f>
        <v>CB</v>
      </c>
      <c r="O156" t="s">
        <v>32</v>
      </c>
      <c r="P156" t="s">
        <v>33</v>
      </c>
      <c r="Q156" t="s">
        <v>32</v>
      </c>
      <c r="R156" s="29" t="str">
        <f>_xlfn.CONCAT(Tabla1[[#This Row],[ABR_01]],"00",Tabla1[[#This Row],[ABR_02]],Tabla1[[#This Row],[ZONA2]],,"0",Tabla1[[#This Row],[PARADA2]])</f>
        <v>AR00CB1023</v>
      </c>
      <c r="S156" s="37" t="s">
        <v>36</v>
      </c>
      <c r="T156" s="37" t="s">
        <v>36</v>
      </c>
      <c r="U156" s="10" t="s">
        <v>265</v>
      </c>
    </row>
    <row r="157" spans="2:21" x14ac:dyDescent="0.2">
      <c r="B157" s="19" t="s">
        <v>40</v>
      </c>
      <c r="C157" s="8" t="s">
        <v>358</v>
      </c>
      <c r="D157" s="17" t="s">
        <v>358</v>
      </c>
      <c r="E157" s="9" t="s">
        <v>324</v>
      </c>
      <c r="F157" s="10" t="s">
        <v>265</v>
      </c>
      <c r="G157" s="69" t="s">
        <v>636</v>
      </c>
      <c r="H157" s="73" t="s">
        <v>660</v>
      </c>
      <c r="I157" s="24" t="s">
        <v>27</v>
      </c>
      <c r="J157" s="24" t="s">
        <v>325</v>
      </c>
      <c r="K157" s="25" t="s">
        <v>29</v>
      </c>
      <c r="L157" s="25" t="s">
        <v>164</v>
      </c>
      <c r="M157" s="15" t="s">
        <v>31</v>
      </c>
      <c r="N157" s="16" t="str">
        <f>Tabla1[[#This Row],[ABR_02]]</f>
        <v>CB</v>
      </c>
      <c r="O157" t="s">
        <v>32</v>
      </c>
      <c r="P157" t="s">
        <v>33</v>
      </c>
      <c r="Q157" t="s">
        <v>32</v>
      </c>
      <c r="R157" s="29" t="str">
        <f>_xlfn.CONCAT(Tabla1[[#This Row],[ABR_01]],"00",Tabla1[[#This Row],[ABR_02]],Tabla1[[#This Row],[ZONA2]],,"0",Tabla1[[#This Row],[PARADA2]])</f>
        <v>AR00CB1024</v>
      </c>
      <c r="S157" s="37" t="s">
        <v>36</v>
      </c>
      <c r="T157" s="37" t="s">
        <v>36</v>
      </c>
      <c r="U157" s="10" t="s">
        <v>265</v>
      </c>
    </row>
    <row r="158" spans="2:21" x14ac:dyDescent="0.2">
      <c r="B158" s="19" t="s">
        <v>40</v>
      </c>
      <c r="C158" s="8" t="s">
        <v>359</v>
      </c>
      <c r="D158" s="12" t="s">
        <v>360</v>
      </c>
      <c r="E158" s="9" t="s">
        <v>324</v>
      </c>
      <c r="F158" s="10" t="s">
        <v>265</v>
      </c>
      <c r="G158" s="69" t="s">
        <v>636</v>
      </c>
      <c r="H158" s="73" t="s">
        <v>661</v>
      </c>
      <c r="I158" s="24" t="s">
        <v>27</v>
      </c>
      <c r="J158" s="24" t="s">
        <v>325</v>
      </c>
      <c r="K158" s="25" t="s">
        <v>29</v>
      </c>
      <c r="L158" s="25" t="s">
        <v>166</v>
      </c>
      <c r="M158" s="15" t="s">
        <v>31</v>
      </c>
      <c r="N158" s="16" t="str">
        <f>Tabla1[[#This Row],[ABR_02]]</f>
        <v>CB</v>
      </c>
      <c r="O158" t="s">
        <v>32</v>
      </c>
      <c r="P158" t="s">
        <v>33</v>
      </c>
      <c r="Q158" t="s">
        <v>32</v>
      </c>
      <c r="R158" s="29" t="str">
        <f>_xlfn.CONCAT(Tabla1[[#This Row],[ABR_01]],"00",Tabla1[[#This Row],[ABR_02]],Tabla1[[#This Row],[ZONA2]],,"0",Tabla1[[#This Row],[PARADA2]])</f>
        <v>AR00CB1025</v>
      </c>
      <c r="S158" s="37" t="s">
        <v>36</v>
      </c>
      <c r="T158" s="37" t="s">
        <v>36</v>
      </c>
      <c r="U158" s="10" t="s">
        <v>265</v>
      </c>
    </row>
    <row r="159" spans="2:21" x14ac:dyDescent="0.2">
      <c r="B159" s="19" t="s">
        <v>40</v>
      </c>
      <c r="C159" s="8" t="s">
        <v>361</v>
      </c>
      <c r="D159" s="12" t="s">
        <v>362</v>
      </c>
      <c r="E159" s="9" t="s">
        <v>363</v>
      </c>
      <c r="F159" s="10" t="s">
        <v>88</v>
      </c>
      <c r="G159" s="69" t="s">
        <v>662</v>
      </c>
      <c r="H159" s="73" t="s">
        <v>663</v>
      </c>
      <c r="I159" s="24" t="s">
        <v>27</v>
      </c>
      <c r="J159" s="24" t="s">
        <v>364</v>
      </c>
      <c r="K159" s="25" t="s">
        <v>29</v>
      </c>
      <c r="L159" s="25" t="s">
        <v>30</v>
      </c>
      <c r="M159" s="15" t="s">
        <v>31</v>
      </c>
      <c r="N159" s="16" t="str">
        <f>Tabla1[[#This Row],[ABR_02]]</f>
        <v>CA</v>
      </c>
      <c r="O159" t="s">
        <v>32</v>
      </c>
      <c r="P159" t="s">
        <v>33</v>
      </c>
      <c r="Q159" t="s">
        <v>57</v>
      </c>
      <c r="R159" s="29" t="str">
        <f>_xlfn.CONCAT(Tabla1[[#This Row],[ABR_01]],"00",Tabla1[[#This Row],[ABR_02]],Tabla1[[#This Row],[ZONA2]],,"0",Tabla1[[#This Row],[PARADA2]])</f>
        <v>AR00CA1001</v>
      </c>
      <c r="S159" s="37" t="s">
        <v>36</v>
      </c>
      <c r="T159" s="37" t="s">
        <v>36</v>
      </c>
      <c r="U159" s="10" t="s">
        <v>88</v>
      </c>
    </row>
    <row r="160" spans="2:21" x14ac:dyDescent="0.2">
      <c r="B160" s="18" t="s">
        <v>365</v>
      </c>
      <c r="C160" s="2" t="s">
        <v>366</v>
      </c>
      <c r="D160" s="3" t="s">
        <v>366</v>
      </c>
      <c r="E160" s="6" t="s">
        <v>367</v>
      </c>
      <c r="F160" s="4" t="s">
        <v>368</v>
      </c>
      <c r="G160" s="72" t="s">
        <v>369</v>
      </c>
      <c r="H160" s="7" t="s">
        <v>369</v>
      </c>
      <c r="I160" s="24" t="s">
        <v>27</v>
      </c>
      <c r="J160" s="24" t="s">
        <v>370</v>
      </c>
      <c r="K160" s="25" t="s">
        <v>29</v>
      </c>
      <c r="L160" s="25" t="s">
        <v>30</v>
      </c>
      <c r="M160" s="15" t="s">
        <v>31</v>
      </c>
      <c r="N160" s="16" t="str">
        <f>Tabla1[[#This Row],[ABR_02]]</f>
        <v>BA</v>
      </c>
      <c r="O160" t="s">
        <v>32</v>
      </c>
      <c r="P160" t="s">
        <v>33</v>
      </c>
      <c r="Q160" t="s">
        <v>32</v>
      </c>
      <c r="R160" s="29" t="str">
        <f>_xlfn.CONCAT(Tabla1[[#This Row],[ABR_01]],"00",Tabla1[[#This Row],[ABR_02]],Tabla1[[#This Row],[ZONA2]],,"0",Tabla1[[#This Row],[PARADA2]])</f>
        <v>AR00BA1001</v>
      </c>
      <c r="S160" s="37" t="s">
        <v>36</v>
      </c>
      <c r="T160" s="37" t="s">
        <v>36</v>
      </c>
      <c r="U160" s="4" t="s">
        <v>368</v>
      </c>
    </row>
    <row r="161" spans="2:21" x14ac:dyDescent="0.2">
      <c r="B161" s="18" t="s">
        <v>365</v>
      </c>
      <c r="C161" s="2" t="s">
        <v>371</v>
      </c>
      <c r="D161" s="3" t="s">
        <v>371</v>
      </c>
      <c r="E161" s="6" t="s">
        <v>367</v>
      </c>
      <c r="F161" s="4" t="s">
        <v>368</v>
      </c>
      <c r="G161" s="72" t="s">
        <v>372</v>
      </c>
      <c r="H161" s="7" t="s">
        <v>372</v>
      </c>
      <c r="I161" s="24" t="s">
        <v>27</v>
      </c>
      <c r="J161" s="24" t="s">
        <v>370</v>
      </c>
      <c r="K161" s="25" t="s">
        <v>29</v>
      </c>
      <c r="L161" s="25" t="s">
        <v>46</v>
      </c>
      <c r="M161" s="15" t="s">
        <v>31</v>
      </c>
      <c r="N161" s="16" t="str">
        <f>Tabla1[[#This Row],[ABR_02]]</f>
        <v>BA</v>
      </c>
      <c r="O161" t="s">
        <v>32</v>
      </c>
      <c r="P161" t="s">
        <v>33</v>
      </c>
      <c r="Q161" t="s">
        <v>32</v>
      </c>
      <c r="R161" s="29" t="str">
        <f>_xlfn.CONCAT(Tabla1[[#This Row],[ABR_01]],"00",Tabla1[[#This Row],[ABR_02]],Tabla1[[#This Row],[ZONA2]],,"0",Tabla1[[#This Row],[PARADA2]])</f>
        <v>AR00BA1002</v>
      </c>
      <c r="S161" s="37" t="s">
        <v>36</v>
      </c>
      <c r="T161" s="37" t="s">
        <v>36</v>
      </c>
      <c r="U161" s="4" t="s">
        <v>368</v>
      </c>
    </row>
    <row r="162" spans="2:21" x14ac:dyDescent="0.2">
      <c r="B162" s="18" t="s">
        <v>365</v>
      </c>
      <c r="C162" s="2" t="s">
        <v>373</v>
      </c>
      <c r="D162" s="3" t="s">
        <v>373</v>
      </c>
      <c r="E162" s="6" t="s">
        <v>367</v>
      </c>
      <c r="F162" s="4" t="s">
        <v>368</v>
      </c>
      <c r="G162" s="72" t="s">
        <v>372</v>
      </c>
      <c r="H162" s="7" t="s">
        <v>374</v>
      </c>
      <c r="I162" s="24" t="s">
        <v>27</v>
      </c>
      <c r="J162" s="24" t="s">
        <v>370</v>
      </c>
      <c r="K162" s="25" t="s">
        <v>29</v>
      </c>
      <c r="L162" s="25" t="s">
        <v>48</v>
      </c>
      <c r="M162" s="15" t="s">
        <v>31</v>
      </c>
      <c r="N162" s="16" t="str">
        <f>Tabla1[[#This Row],[ABR_02]]</f>
        <v>BA</v>
      </c>
      <c r="O162" t="s">
        <v>32</v>
      </c>
      <c r="P162" t="s">
        <v>33</v>
      </c>
      <c r="Q162" t="s">
        <v>32</v>
      </c>
      <c r="R162" s="29" t="str">
        <f>_xlfn.CONCAT(Tabla1[[#This Row],[ABR_01]],"00",Tabla1[[#This Row],[ABR_02]],Tabla1[[#This Row],[ZONA2]],,"0",Tabla1[[#This Row],[PARADA2]])</f>
        <v>AR00BA1003</v>
      </c>
      <c r="S162" s="37" t="s">
        <v>36</v>
      </c>
      <c r="T162" s="37" t="s">
        <v>36</v>
      </c>
      <c r="U162" s="4" t="s">
        <v>368</v>
      </c>
    </row>
    <row r="163" spans="2:21" x14ac:dyDescent="0.2">
      <c r="B163" s="18" t="s">
        <v>365</v>
      </c>
      <c r="C163" s="2" t="s">
        <v>375</v>
      </c>
      <c r="D163" s="3" t="s">
        <v>375</v>
      </c>
      <c r="E163" s="6" t="s">
        <v>367</v>
      </c>
      <c r="F163" s="4" t="s">
        <v>368</v>
      </c>
      <c r="G163" s="72" t="s">
        <v>376</v>
      </c>
      <c r="H163" s="7" t="s">
        <v>376</v>
      </c>
      <c r="I163" s="24" t="s">
        <v>27</v>
      </c>
      <c r="J163" s="24" t="s">
        <v>370</v>
      </c>
      <c r="K163" s="25" t="s">
        <v>29</v>
      </c>
      <c r="L163" s="25" t="s">
        <v>51</v>
      </c>
      <c r="M163" s="15" t="s">
        <v>31</v>
      </c>
      <c r="N163" s="16" t="str">
        <f>Tabla1[[#This Row],[ABR_02]]</f>
        <v>BA</v>
      </c>
      <c r="O163" t="s">
        <v>32</v>
      </c>
      <c r="P163" t="s">
        <v>33</v>
      </c>
      <c r="Q163" t="s">
        <v>32</v>
      </c>
      <c r="R163" s="29" t="str">
        <f>_xlfn.CONCAT(Tabla1[[#This Row],[ABR_01]],"00",Tabla1[[#This Row],[ABR_02]],Tabla1[[#This Row],[ZONA2]],,"0",Tabla1[[#This Row],[PARADA2]])</f>
        <v>AR00BA1004</v>
      </c>
      <c r="S163" s="37" t="s">
        <v>36</v>
      </c>
      <c r="T163" s="37" t="s">
        <v>36</v>
      </c>
      <c r="U163" s="4" t="s">
        <v>368</v>
      </c>
    </row>
    <row r="164" spans="2:21" x14ac:dyDescent="0.2">
      <c r="B164" s="18" t="s">
        <v>365</v>
      </c>
      <c r="C164" s="2" t="s">
        <v>377</v>
      </c>
      <c r="D164" s="3" t="s">
        <v>377</v>
      </c>
      <c r="E164" s="6" t="s">
        <v>367</v>
      </c>
      <c r="F164" s="4" t="s">
        <v>368</v>
      </c>
      <c r="G164" s="7" t="s">
        <v>372</v>
      </c>
      <c r="H164" s="7" t="s">
        <v>378</v>
      </c>
      <c r="I164" s="24" t="s">
        <v>27</v>
      </c>
      <c r="J164" s="24" t="s">
        <v>370</v>
      </c>
      <c r="K164" s="25" t="s">
        <v>29</v>
      </c>
      <c r="L164" s="25" t="s">
        <v>65</v>
      </c>
      <c r="M164" s="15" t="s">
        <v>31</v>
      </c>
      <c r="N164" s="16" t="str">
        <f>Tabla1[[#This Row],[ABR_02]]</f>
        <v>BA</v>
      </c>
      <c r="O164" t="s">
        <v>32</v>
      </c>
      <c r="P164" t="s">
        <v>33</v>
      </c>
      <c r="Q164" t="s">
        <v>32</v>
      </c>
      <c r="R164" s="29" t="str">
        <f>_xlfn.CONCAT(Tabla1[[#This Row],[ABR_01]],"00",Tabla1[[#This Row],[ABR_02]],Tabla1[[#This Row],[ZONA2]],,"0",Tabla1[[#This Row],[PARADA2]])</f>
        <v>AR00BA1005</v>
      </c>
      <c r="S164" s="37" t="s">
        <v>36</v>
      </c>
      <c r="T164" s="37" t="s">
        <v>36</v>
      </c>
      <c r="U164" s="4" t="s">
        <v>368</v>
      </c>
    </row>
    <row r="165" spans="2:21" x14ac:dyDescent="0.2">
      <c r="B165" s="18" t="s">
        <v>365</v>
      </c>
      <c r="C165" s="2" t="s">
        <v>379</v>
      </c>
      <c r="D165" s="3" t="s">
        <v>379</v>
      </c>
      <c r="E165" s="6" t="s">
        <v>367</v>
      </c>
      <c r="F165" s="4" t="s">
        <v>368</v>
      </c>
      <c r="G165" s="7" t="s">
        <v>372</v>
      </c>
      <c r="H165" s="7" t="s">
        <v>380</v>
      </c>
      <c r="I165" s="24" t="s">
        <v>27</v>
      </c>
      <c r="J165" s="24" t="s">
        <v>370</v>
      </c>
      <c r="K165" s="25" t="s">
        <v>29</v>
      </c>
      <c r="L165" s="25" t="s">
        <v>67</v>
      </c>
      <c r="M165" s="15" t="s">
        <v>31</v>
      </c>
      <c r="N165" s="16" t="str">
        <f>Tabla1[[#This Row],[ABR_02]]</f>
        <v>BA</v>
      </c>
      <c r="O165" t="s">
        <v>32</v>
      </c>
      <c r="P165" t="s">
        <v>33</v>
      </c>
      <c r="Q165" t="s">
        <v>32</v>
      </c>
      <c r="R165" s="29" t="str">
        <f>_xlfn.CONCAT(Tabla1[[#This Row],[ABR_01]],"00",Tabla1[[#This Row],[ABR_02]],Tabla1[[#This Row],[ZONA2]],,"0",Tabla1[[#This Row],[PARADA2]])</f>
        <v>AR00BA1006</v>
      </c>
      <c r="S165" s="37" t="s">
        <v>36</v>
      </c>
      <c r="T165" s="37" t="s">
        <v>36</v>
      </c>
      <c r="U165" s="4" t="s">
        <v>368</v>
      </c>
    </row>
    <row r="166" spans="2:21" x14ac:dyDescent="0.2">
      <c r="B166" s="18" t="s">
        <v>365</v>
      </c>
      <c r="C166" s="2" t="s">
        <v>381</v>
      </c>
      <c r="D166" s="3" t="s">
        <v>381</v>
      </c>
      <c r="E166" s="6" t="s">
        <v>367</v>
      </c>
      <c r="F166" s="4" t="s">
        <v>368</v>
      </c>
      <c r="G166" s="7" t="s">
        <v>372</v>
      </c>
      <c r="H166" s="7" t="s">
        <v>382</v>
      </c>
      <c r="I166" s="24" t="s">
        <v>27</v>
      </c>
      <c r="J166" s="24" t="s">
        <v>370</v>
      </c>
      <c r="K166" s="25" t="s">
        <v>29</v>
      </c>
      <c r="L166" s="25" t="s">
        <v>70</v>
      </c>
      <c r="M166" s="15" t="s">
        <v>31</v>
      </c>
      <c r="N166" s="16" t="str">
        <f>Tabla1[[#This Row],[ABR_02]]</f>
        <v>BA</v>
      </c>
      <c r="O166" t="s">
        <v>32</v>
      </c>
      <c r="P166" t="s">
        <v>33</v>
      </c>
      <c r="Q166" t="s">
        <v>32</v>
      </c>
      <c r="R166" s="29" t="str">
        <f>_xlfn.CONCAT(Tabla1[[#This Row],[ABR_01]],"00",Tabla1[[#This Row],[ABR_02]],Tabla1[[#This Row],[ZONA2]],,"0",Tabla1[[#This Row],[PARADA2]])</f>
        <v>AR00BA1007</v>
      </c>
      <c r="S166" s="37" t="s">
        <v>36</v>
      </c>
      <c r="T166" s="37" t="s">
        <v>36</v>
      </c>
      <c r="U166" s="4" t="s">
        <v>368</v>
      </c>
    </row>
    <row r="167" spans="2:21" x14ac:dyDescent="0.2">
      <c r="B167" s="18" t="s">
        <v>365</v>
      </c>
      <c r="C167" s="2" t="s">
        <v>383</v>
      </c>
      <c r="D167" s="3" t="s">
        <v>383</v>
      </c>
      <c r="E167" s="6" t="s">
        <v>367</v>
      </c>
      <c r="F167" s="4" t="s">
        <v>368</v>
      </c>
      <c r="G167" s="7" t="s">
        <v>372</v>
      </c>
      <c r="H167" s="7" t="s">
        <v>384</v>
      </c>
      <c r="I167" s="24" t="s">
        <v>27</v>
      </c>
      <c r="J167" s="24" t="s">
        <v>370</v>
      </c>
      <c r="K167" s="25" t="s">
        <v>29</v>
      </c>
      <c r="L167" s="25" t="s">
        <v>73</v>
      </c>
      <c r="M167" s="15" t="s">
        <v>31</v>
      </c>
      <c r="N167" s="16" t="str">
        <f>Tabla1[[#This Row],[ABR_02]]</f>
        <v>BA</v>
      </c>
      <c r="O167" t="s">
        <v>32</v>
      </c>
      <c r="P167" t="s">
        <v>33</v>
      </c>
      <c r="Q167" t="s">
        <v>32</v>
      </c>
      <c r="R167" s="29" t="str">
        <f>_xlfn.CONCAT(Tabla1[[#This Row],[ABR_01]],"00",Tabla1[[#This Row],[ABR_02]],Tabla1[[#This Row],[ZONA2]],,"0",Tabla1[[#This Row],[PARADA2]])</f>
        <v>AR00BA1008</v>
      </c>
      <c r="S167" s="37" t="s">
        <v>36</v>
      </c>
      <c r="T167" s="37" t="s">
        <v>36</v>
      </c>
      <c r="U167" s="4" t="s">
        <v>368</v>
      </c>
    </row>
    <row r="168" spans="2:21" x14ac:dyDescent="0.2">
      <c r="B168" s="19" t="s">
        <v>40</v>
      </c>
      <c r="C168" s="8" t="s">
        <v>385</v>
      </c>
      <c r="D168" s="17" t="s">
        <v>386</v>
      </c>
      <c r="E168" s="9" t="s">
        <v>367</v>
      </c>
      <c r="F168" s="10" t="s">
        <v>413</v>
      </c>
      <c r="G168" s="71" t="s">
        <v>388</v>
      </c>
      <c r="H168" s="73" t="s">
        <v>664</v>
      </c>
      <c r="I168" s="24" t="s">
        <v>27</v>
      </c>
      <c r="J168" s="24" t="s">
        <v>370</v>
      </c>
      <c r="K168" s="25" t="s">
        <v>665</v>
      </c>
      <c r="L168" s="25" t="s">
        <v>30</v>
      </c>
      <c r="M168" s="15" t="s">
        <v>31</v>
      </c>
      <c r="N168" s="16" t="str">
        <f>Tabla1[[#This Row],[ABR_02]]</f>
        <v>BA</v>
      </c>
      <c r="O168" t="s">
        <v>32</v>
      </c>
      <c r="P168" t="s">
        <v>33</v>
      </c>
      <c r="Q168" t="s">
        <v>32</v>
      </c>
      <c r="R168" s="29" t="str">
        <f>_xlfn.CONCAT(Tabla1[[#This Row],[ABR_01]],"00",Tabla1[[#This Row],[ABR_02]],Tabla1[[#This Row],[ZONA2]],,"0",Tabla1[[#This Row],[PARADA2]])</f>
        <v>AR00BA2001</v>
      </c>
      <c r="S168" s="37" t="s">
        <v>36</v>
      </c>
      <c r="T168" s="37" t="s">
        <v>36</v>
      </c>
      <c r="U168" s="10" t="s">
        <v>413</v>
      </c>
    </row>
    <row r="169" spans="2:21" x14ac:dyDescent="0.2">
      <c r="B169" s="19" t="s">
        <v>40</v>
      </c>
      <c r="C169" s="8" t="s">
        <v>389</v>
      </c>
      <c r="D169" s="17" t="s">
        <v>390</v>
      </c>
      <c r="E169" s="9" t="s">
        <v>367</v>
      </c>
      <c r="F169" s="10" t="s">
        <v>387</v>
      </c>
      <c r="G169" s="71" t="s">
        <v>388</v>
      </c>
      <c r="H169" s="73" t="s">
        <v>666</v>
      </c>
      <c r="I169" s="24" t="s">
        <v>27</v>
      </c>
      <c r="J169" s="24" t="s">
        <v>370</v>
      </c>
      <c r="K169" s="25" t="s">
        <v>665</v>
      </c>
      <c r="L169" s="25" t="s">
        <v>46</v>
      </c>
      <c r="M169" s="15" t="s">
        <v>31</v>
      </c>
      <c r="N169" s="16" t="str">
        <f>Tabla1[[#This Row],[ABR_02]]</f>
        <v>BA</v>
      </c>
      <c r="O169" t="s">
        <v>32</v>
      </c>
      <c r="P169" t="s">
        <v>33</v>
      </c>
      <c r="Q169" t="s">
        <v>32</v>
      </c>
      <c r="R169" s="29" t="str">
        <f>_xlfn.CONCAT(Tabla1[[#This Row],[ABR_01]],"00",Tabla1[[#This Row],[ABR_02]],Tabla1[[#This Row],[ZONA2]],,"0",Tabla1[[#This Row],[PARADA2]])</f>
        <v>AR00BA2002</v>
      </c>
      <c r="S169" s="37" t="s">
        <v>36</v>
      </c>
      <c r="T169" s="37" t="s">
        <v>36</v>
      </c>
      <c r="U169" s="10" t="s">
        <v>413</v>
      </c>
    </row>
    <row r="170" spans="2:21" x14ac:dyDescent="0.2">
      <c r="B170" s="19" t="s">
        <v>40</v>
      </c>
      <c r="C170" s="8" t="s">
        <v>391</v>
      </c>
      <c r="D170" s="12" t="s">
        <v>392</v>
      </c>
      <c r="E170" s="9" t="s">
        <v>367</v>
      </c>
      <c r="F170" s="10" t="s">
        <v>387</v>
      </c>
      <c r="G170" s="71" t="s">
        <v>388</v>
      </c>
      <c r="H170" s="73" t="s">
        <v>667</v>
      </c>
      <c r="I170" s="24" t="s">
        <v>27</v>
      </c>
      <c r="J170" s="24" t="s">
        <v>370</v>
      </c>
      <c r="K170" s="25" t="s">
        <v>665</v>
      </c>
      <c r="L170" s="25" t="s">
        <v>48</v>
      </c>
      <c r="M170" s="15" t="s">
        <v>31</v>
      </c>
      <c r="N170" s="16" t="str">
        <f>Tabla1[[#This Row],[ABR_02]]</f>
        <v>BA</v>
      </c>
      <c r="O170" t="s">
        <v>32</v>
      </c>
      <c r="P170" t="s">
        <v>33</v>
      </c>
      <c r="Q170" t="s">
        <v>32</v>
      </c>
      <c r="R170" s="29" t="str">
        <f>_xlfn.CONCAT(Tabla1[[#This Row],[ABR_01]],"00",Tabla1[[#This Row],[ABR_02]],Tabla1[[#This Row],[ZONA2]],,"0",Tabla1[[#This Row],[PARADA2]])</f>
        <v>AR00BA2003</v>
      </c>
      <c r="S170" s="37" t="s">
        <v>36</v>
      </c>
      <c r="T170" s="37" t="s">
        <v>36</v>
      </c>
      <c r="U170" s="10" t="s">
        <v>413</v>
      </c>
    </row>
    <row r="171" spans="2:21" x14ac:dyDescent="0.2">
      <c r="B171" s="19" t="s">
        <v>40</v>
      </c>
      <c r="C171" s="8" t="s">
        <v>393</v>
      </c>
      <c r="D171" s="12" t="s">
        <v>394</v>
      </c>
      <c r="E171" s="9" t="s">
        <v>367</v>
      </c>
      <c r="F171" s="10" t="s">
        <v>387</v>
      </c>
      <c r="G171" s="71" t="s">
        <v>388</v>
      </c>
      <c r="H171" s="73" t="s">
        <v>668</v>
      </c>
      <c r="I171" s="24" t="s">
        <v>27</v>
      </c>
      <c r="J171" s="24" t="s">
        <v>370</v>
      </c>
      <c r="K171" s="25" t="s">
        <v>665</v>
      </c>
      <c r="L171" s="25" t="s">
        <v>51</v>
      </c>
      <c r="M171" s="15" t="s">
        <v>31</v>
      </c>
      <c r="N171" s="16" t="str">
        <f>Tabla1[[#This Row],[ABR_02]]</f>
        <v>BA</v>
      </c>
      <c r="O171" t="s">
        <v>32</v>
      </c>
      <c r="P171" t="s">
        <v>33</v>
      </c>
      <c r="Q171" t="s">
        <v>32</v>
      </c>
      <c r="R171" s="29" t="str">
        <f>_xlfn.CONCAT(Tabla1[[#This Row],[ABR_01]],"00",Tabla1[[#This Row],[ABR_02]],Tabla1[[#This Row],[ZONA2]],,"0",Tabla1[[#This Row],[PARADA2]])</f>
        <v>AR00BA2004</v>
      </c>
      <c r="S171" s="37" t="s">
        <v>36</v>
      </c>
      <c r="T171" s="37" t="s">
        <v>36</v>
      </c>
      <c r="U171" s="10" t="s">
        <v>413</v>
      </c>
    </row>
    <row r="172" spans="2:21" x14ac:dyDescent="0.2">
      <c r="B172" s="19" t="s">
        <v>40</v>
      </c>
      <c r="C172" s="8" t="s">
        <v>395</v>
      </c>
      <c r="D172" s="17" t="s">
        <v>396</v>
      </c>
      <c r="E172" s="9" t="s">
        <v>367</v>
      </c>
      <c r="F172" s="10" t="s">
        <v>387</v>
      </c>
      <c r="G172" s="71" t="s">
        <v>388</v>
      </c>
      <c r="H172" s="73" t="s">
        <v>669</v>
      </c>
      <c r="I172" s="24" t="s">
        <v>27</v>
      </c>
      <c r="J172" s="24" t="s">
        <v>370</v>
      </c>
      <c r="K172" s="25" t="s">
        <v>665</v>
      </c>
      <c r="L172" s="25" t="s">
        <v>65</v>
      </c>
      <c r="M172" s="15" t="s">
        <v>31</v>
      </c>
      <c r="N172" s="16" t="str">
        <f>Tabla1[[#This Row],[ABR_02]]</f>
        <v>BA</v>
      </c>
      <c r="O172" t="s">
        <v>32</v>
      </c>
      <c r="P172" t="s">
        <v>33</v>
      </c>
      <c r="Q172" t="s">
        <v>32</v>
      </c>
      <c r="R172" s="29" t="str">
        <f>_xlfn.CONCAT(Tabla1[[#This Row],[ABR_01]],"00",Tabla1[[#This Row],[ABR_02]],Tabla1[[#This Row],[ZONA2]],,"0",Tabla1[[#This Row],[PARADA2]])</f>
        <v>AR00BA2005</v>
      </c>
      <c r="S172" s="37" t="s">
        <v>36</v>
      </c>
      <c r="T172" s="37" t="s">
        <v>36</v>
      </c>
      <c r="U172" s="10" t="s">
        <v>413</v>
      </c>
    </row>
    <row r="173" spans="2:21" x14ac:dyDescent="0.2">
      <c r="B173" s="19" t="s">
        <v>40</v>
      </c>
      <c r="C173" s="8" t="s">
        <v>397</v>
      </c>
      <c r="D173" s="12" t="s">
        <v>398</v>
      </c>
      <c r="E173" s="9" t="s">
        <v>367</v>
      </c>
      <c r="F173" s="10" t="s">
        <v>387</v>
      </c>
      <c r="G173" s="71" t="s">
        <v>388</v>
      </c>
      <c r="H173" s="73" t="s">
        <v>670</v>
      </c>
      <c r="I173" s="24" t="s">
        <v>27</v>
      </c>
      <c r="J173" s="24" t="s">
        <v>370</v>
      </c>
      <c r="K173" s="25" t="s">
        <v>665</v>
      </c>
      <c r="L173" s="25" t="s">
        <v>67</v>
      </c>
      <c r="M173" s="15" t="s">
        <v>31</v>
      </c>
      <c r="N173" s="16" t="str">
        <f>Tabla1[[#This Row],[ABR_02]]</f>
        <v>BA</v>
      </c>
      <c r="O173" t="s">
        <v>32</v>
      </c>
      <c r="P173" t="s">
        <v>33</v>
      </c>
      <c r="Q173" t="s">
        <v>32</v>
      </c>
      <c r="R173" s="29" t="str">
        <f>_xlfn.CONCAT(Tabla1[[#This Row],[ABR_01]],"00",Tabla1[[#This Row],[ABR_02]],Tabla1[[#This Row],[ZONA2]],,"0",Tabla1[[#This Row],[PARADA2]])</f>
        <v>AR00BA2006</v>
      </c>
      <c r="S173" s="37" t="s">
        <v>36</v>
      </c>
      <c r="T173" s="37" t="s">
        <v>36</v>
      </c>
      <c r="U173" s="10" t="s">
        <v>413</v>
      </c>
    </row>
    <row r="174" spans="2:21" x14ac:dyDescent="0.2">
      <c r="B174" s="19" t="s">
        <v>40</v>
      </c>
      <c r="C174" s="8" t="s">
        <v>399</v>
      </c>
      <c r="D174" s="12" t="s">
        <v>400</v>
      </c>
      <c r="E174" s="9" t="s">
        <v>367</v>
      </c>
      <c r="F174" s="10" t="s">
        <v>387</v>
      </c>
      <c r="G174" s="71" t="s">
        <v>388</v>
      </c>
      <c r="H174" s="73" t="s">
        <v>671</v>
      </c>
      <c r="I174" s="24" t="s">
        <v>27</v>
      </c>
      <c r="J174" s="24" t="s">
        <v>370</v>
      </c>
      <c r="K174" s="25" t="s">
        <v>665</v>
      </c>
      <c r="L174" s="25" t="s">
        <v>70</v>
      </c>
      <c r="M174" s="15" t="s">
        <v>31</v>
      </c>
      <c r="N174" s="16" t="str">
        <f>Tabla1[[#This Row],[ABR_02]]</f>
        <v>BA</v>
      </c>
      <c r="O174" t="s">
        <v>32</v>
      </c>
      <c r="P174" t="s">
        <v>33</v>
      </c>
      <c r="Q174" t="s">
        <v>32</v>
      </c>
      <c r="R174" s="29" t="str">
        <f>_xlfn.CONCAT(Tabla1[[#This Row],[ABR_01]],"00",Tabla1[[#This Row],[ABR_02]],Tabla1[[#This Row],[ZONA2]],,"0",Tabla1[[#This Row],[PARADA2]])</f>
        <v>AR00BA2007</v>
      </c>
      <c r="S174" s="37" t="s">
        <v>36</v>
      </c>
      <c r="T174" s="37" t="s">
        <v>36</v>
      </c>
      <c r="U174" s="10" t="s">
        <v>413</v>
      </c>
    </row>
    <row r="175" spans="2:21" x14ac:dyDescent="0.2">
      <c r="B175" s="19" t="s">
        <v>40</v>
      </c>
      <c r="C175" s="8" t="s">
        <v>401</v>
      </c>
      <c r="D175" s="17" t="s">
        <v>402</v>
      </c>
      <c r="E175" s="9" t="s">
        <v>367</v>
      </c>
      <c r="F175" s="10" t="s">
        <v>387</v>
      </c>
      <c r="G175" s="71" t="s">
        <v>388</v>
      </c>
      <c r="H175" s="73" t="s">
        <v>672</v>
      </c>
      <c r="I175" s="24" t="s">
        <v>27</v>
      </c>
      <c r="J175" s="24" t="s">
        <v>370</v>
      </c>
      <c r="K175" s="25" t="s">
        <v>665</v>
      </c>
      <c r="L175" s="25" t="s">
        <v>73</v>
      </c>
      <c r="M175" s="15" t="s">
        <v>31</v>
      </c>
      <c r="N175" s="16" t="str">
        <f>Tabla1[[#This Row],[ABR_02]]</f>
        <v>BA</v>
      </c>
      <c r="O175" t="s">
        <v>32</v>
      </c>
      <c r="P175" t="s">
        <v>33</v>
      </c>
      <c r="Q175" t="s">
        <v>32</v>
      </c>
      <c r="R175" s="29" t="str">
        <f>_xlfn.CONCAT(Tabla1[[#This Row],[ABR_01]],"00",Tabla1[[#This Row],[ABR_02]],Tabla1[[#This Row],[ZONA2]],,"0",Tabla1[[#This Row],[PARADA2]])</f>
        <v>AR00BA2008</v>
      </c>
      <c r="S175" s="37" t="s">
        <v>36</v>
      </c>
      <c r="T175" s="37" t="s">
        <v>36</v>
      </c>
      <c r="U175" s="10" t="s">
        <v>413</v>
      </c>
    </row>
    <row r="176" spans="2:21" x14ac:dyDescent="0.2">
      <c r="B176" s="19" t="s">
        <v>40</v>
      </c>
      <c r="C176" s="8" t="s">
        <v>403</v>
      </c>
      <c r="D176" s="17" t="s">
        <v>404</v>
      </c>
      <c r="E176" s="9" t="s">
        <v>367</v>
      </c>
      <c r="F176" s="10" t="s">
        <v>387</v>
      </c>
      <c r="G176" s="71" t="s">
        <v>388</v>
      </c>
      <c r="H176" s="73" t="s">
        <v>673</v>
      </c>
      <c r="I176" s="24" t="s">
        <v>27</v>
      </c>
      <c r="J176" s="24" t="s">
        <v>370</v>
      </c>
      <c r="K176" s="25" t="s">
        <v>665</v>
      </c>
      <c r="L176" s="25" t="s">
        <v>125</v>
      </c>
      <c r="M176" s="15" t="s">
        <v>31</v>
      </c>
      <c r="N176" s="16" t="str">
        <f>Tabla1[[#This Row],[ABR_02]]</f>
        <v>BA</v>
      </c>
      <c r="O176" t="s">
        <v>32</v>
      </c>
      <c r="P176" t="s">
        <v>33</v>
      </c>
      <c r="Q176" t="s">
        <v>32</v>
      </c>
      <c r="R176" s="29" t="str">
        <f>_xlfn.CONCAT(Tabla1[[#This Row],[ABR_01]],"00",Tabla1[[#This Row],[ABR_02]],Tabla1[[#This Row],[ZONA2]],,"0",Tabla1[[#This Row],[PARADA2]])</f>
        <v>AR00BA2009</v>
      </c>
      <c r="S176" s="37" t="s">
        <v>36</v>
      </c>
      <c r="T176" s="37" t="s">
        <v>36</v>
      </c>
      <c r="U176" s="10" t="s">
        <v>413</v>
      </c>
    </row>
    <row r="177" spans="2:21" x14ac:dyDescent="0.2">
      <c r="B177" s="19" t="s">
        <v>40</v>
      </c>
      <c r="C177" s="8" t="s">
        <v>405</v>
      </c>
      <c r="D177" s="17" t="s">
        <v>406</v>
      </c>
      <c r="E177" s="9" t="s">
        <v>367</v>
      </c>
      <c r="F177" s="10" t="s">
        <v>387</v>
      </c>
      <c r="G177" s="71" t="s">
        <v>388</v>
      </c>
      <c r="H177" s="73" t="s">
        <v>674</v>
      </c>
      <c r="I177" s="24" t="s">
        <v>27</v>
      </c>
      <c r="J177" s="24" t="s">
        <v>370</v>
      </c>
      <c r="K177" s="25" t="s">
        <v>665</v>
      </c>
      <c r="L177" s="25" t="s">
        <v>128</v>
      </c>
      <c r="M177" s="15" t="s">
        <v>31</v>
      </c>
      <c r="N177" s="16" t="str">
        <f>Tabla1[[#This Row],[ABR_02]]</f>
        <v>BA</v>
      </c>
      <c r="O177" t="s">
        <v>32</v>
      </c>
      <c r="P177" t="s">
        <v>33</v>
      </c>
      <c r="Q177" t="s">
        <v>32</v>
      </c>
      <c r="R177" s="29" t="str">
        <f>_xlfn.CONCAT(Tabla1[[#This Row],[ABR_01]],"00",Tabla1[[#This Row],[ABR_02]],Tabla1[[#This Row],[ZONA2]],,"0",Tabla1[[#This Row],[PARADA2]])</f>
        <v>AR00BA2010</v>
      </c>
      <c r="S177" s="37" t="s">
        <v>36</v>
      </c>
      <c r="T177" s="37" t="s">
        <v>36</v>
      </c>
      <c r="U177" s="10" t="s">
        <v>413</v>
      </c>
    </row>
    <row r="178" spans="2:21" x14ac:dyDescent="0.2">
      <c r="B178" s="19" t="s">
        <v>40</v>
      </c>
      <c r="C178" s="8" t="s">
        <v>407</v>
      </c>
      <c r="D178" s="17" t="s">
        <v>408</v>
      </c>
      <c r="E178" s="9" t="s">
        <v>367</v>
      </c>
      <c r="F178" s="10" t="s">
        <v>43</v>
      </c>
      <c r="G178" s="71" t="s">
        <v>577</v>
      </c>
      <c r="H178" s="73" t="s">
        <v>675</v>
      </c>
      <c r="I178" s="24" t="s">
        <v>27</v>
      </c>
      <c r="J178" s="24" t="s">
        <v>370</v>
      </c>
      <c r="K178" s="25" t="s">
        <v>409</v>
      </c>
      <c r="L178" s="25" t="s">
        <v>30</v>
      </c>
      <c r="M178" s="15" t="s">
        <v>31</v>
      </c>
      <c r="N178" s="16" t="str">
        <f>Tabla1[[#This Row],[ABR_02]]</f>
        <v>BA</v>
      </c>
      <c r="O178" t="s">
        <v>32</v>
      </c>
      <c r="P178" t="s">
        <v>33</v>
      </c>
      <c r="Q178" t="s">
        <v>32</v>
      </c>
      <c r="R178" s="29" t="str">
        <f>_xlfn.CONCAT(Tabla1[[#This Row],[ABR_01]],"00",Tabla1[[#This Row],[ABR_02]],Tabla1[[#This Row],[ZONA2]],,"0",Tabla1[[#This Row],[PARADA2]])</f>
        <v>AR00BA4001</v>
      </c>
      <c r="S178" s="37" t="s">
        <v>36</v>
      </c>
      <c r="T178" s="37" t="s">
        <v>36</v>
      </c>
      <c r="U178" s="10" t="s">
        <v>43</v>
      </c>
    </row>
    <row r="179" spans="2:21" x14ac:dyDescent="0.2">
      <c r="B179" s="19" t="s">
        <v>40</v>
      </c>
      <c r="C179" s="8" t="s">
        <v>411</v>
      </c>
      <c r="D179" s="12" t="s">
        <v>412</v>
      </c>
      <c r="E179" s="9" t="s">
        <v>367</v>
      </c>
      <c r="F179" s="10" t="s">
        <v>272</v>
      </c>
      <c r="G179" s="69" t="s">
        <v>413</v>
      </c>
      <c r="H179" s="73" t="s">
        <v>676</v>
      </c>
      <c r="I179" s="24" t="s">
        <v>27</v>
      </c>
      <c r="J179" s="24" t="s">
        <v>370</v>
      </c>
      <c r="K179" s="25" t="s">
        <v>414</v>
      </c>
      <c r="L179" s="25" t="s">
        <v>30</v>
      </c>
      <c r="M179" s="15" t="s">
        <v>31</v>
      </c>
      <c r="N179" s="16" t="str">
        <f>Tabla1[[#This Row],[ABR_02]]</f>
        <v>BA</v>
      </c>
      <c r="O179" t="s">
        <v>32</v>
      </c>
      <c r="P179" t="s">
        <v>33</v>
      </c>
      <c r="Q179" t="s">
        <v>32</v>
      </c>
      <c r="R179" s="29" t="str">
        <f>_xlfn.CONCAT(Tabla1[[#This Row],[ABR_01]],"00",Tabla1[[#This Row],[ABR_02]],Tabla1[[#This Row],[ZONA2]],,"0",Tabla1[[#This Row],[PARADA2]])</f>
        <v>AR00BA3001</v>
      </c>
      <c r="S179" s="37" t="s">
        <v>36</v>
      </c>
      <c r="T179" s="37" t="s">
        <v>36</v>
      </c>
      <c r="U179" s="10" t="s">
        <v>413</v>
      </c>
    </row>
    <row r="180" spans="2:21" x14ac:dyDescent="0.2">
      <c r="B180" s="19" t="s">
        <v>40</v>
      </c>
      <c r="C180" s="8" t="s">
        <v>415</v>
      </c>
      <c r="D180" s="17" t="s">
        <v>415</v>
      </c>
      <c r="E180" s="9" t="s">
        <v>367</v>
      </c>
      <c r="F180" s="10" t="s">
        <v>272</v>
      </c>
      <c r="G180" s="69" t="s">
        <v>413</v>
      </c>
      <c r="H180" s="73" t="s">
        <v>677</v>
      </c>
      <c r="I180" s="24" t="s">
        <v>27</v>
      </c>
      <c r="J180" s="24" t="s">
        <v>370</v>
      </c>
      <c r="K180" s="25" t="s">
        <v>414</v>
      </c>
      <c r="L180" s="25" t="s">
        <v>46</v>
      </c>
      <c r="M180" s="15" t="s">
        <v>31</v>
      </c>
      <c r="N180" s="16" t="str">
        <f>Tabla1[[#This Row],[ABR_02]]</f>
        <v>BA</v>
      </c>
      <c r="O180" t="s">
        <v>32</v>
      </c>
      <c r="P180" t="s">
        <v>33</v>
      </c>
      <c r="Q180" t="s">
        <v>32</v>
      </c>
      <c r="R180" s="29" t="str">
        <f>_xlfn.CONCAT(Tabla1[[#This Row],[ABR_01]],"00",Tabla1[[#This Row],[ABR_02]],Tabla1[[#This Row],[ZONA2]],,"0",Tabla1[[#This Row],[PARADA2]])</f>
        <v>AR00BA3002</v>
      </c>
      <c r="S180" s="37" t="s">
        <v>36</v>
      </c>
      <c r="T180" s="37" t="s">
        <v>36</v>
      </c>
      <c r="U180" s="10" t="s">
        <v>413</v>
      </c>
    </row>
    <row r="181" spans="2:21" x14ac:dyDescent="0.2">
      <c r="B181" s="19" t="s">
        <v>40</v>
      </c>
      <c r="C181" s="8" t="s">
        <v>416</v>
      </c>
      <c r="D181" s="12" t="s">
        <v>417</v>
      </c>
      <c r="E181" s="9" t="s">
        <v>367</v>
      </c>
      <c r="F181" s="10" t="s">
        <v>272</v>
      </c>
      <c r="G181" s="69" t="s">
        <v>413</v>
      </c>
      <c r="H181" s="73" t="s">
        <v>678</v>
      </c>
      <c r="I181" s="24" t="s">
        <v>27</v>
      </c>
      <c r="J181" s="24" t="s">
        <v>370</v>
      </c>
      <c r="K181" s="25" t="s">
        <v>414</v>
      </c>
      <c r="L181" s="25" t="s">
        <v>48</v>
      </c>
      <c r="M181" s="15" t="s">
        <v>31</v>
      </c>
      <c r="N181" s="16" t="str">
        <f>Tabla1[[#This Row],[ABR_02]]</f>
        <v>BA</v>
      </c>
      <c r="O181" t="s">
        <v>32</v>
      </c>
      <c r="P181" t="s">
        <v>33</v>
      </c>
      <c r="Q181" t="s">
        <v>32</v>
      </c>
      <c r="R181" s="29" t="str">
        <f>_xlfn.CONCAT(Tabla1[[#This Row],[ABR_01]],"00",Tabla1[[#This Row],[ABR_02]],Tabla1[[#This Row],[ZONA2]],,"0",Tabla1[[#This Row],[PARADA2]])</f>
        <v>AR00BA3003</v>
      </c>
      <c r="S181" s="37" t="s">
        <v>36</v>
      </c>
      <c r="T181" s="37" t="s">
        <v>36</v>
      </c>
      <c r="U181" s="10" t="s">
        <v>413</v>
      </c>
    </row>
    <row r="182" spans="2:21" x14ac:dyDescent="0.2">
      <c r="B182" s="19" t="s">
        <v>40</v>
      </c>
      <c r="C182" s="8" t="s">
        <v>418</v>
      </c>
      <c r="D182" s="12" t="s">
        <v>419</v>
      </c>
      <c r="E182" s="9" t="s">
        <v>367</v>
      </c>
      <c r="F182" s="10" t="s">
        <v>272</v>
      </c>
      <c r="G182" s="69" t="s">
        <v>413</v>
      </c>
      <c r="H182" s="73" t="s">
        <v>679</v>
      </c>
      <c r="I182" s="24" t="s">
        <v>27</v>
      </c>
      <c r="J182" s="24" t="s">
        <v>370</v>
      </c>
      <c r="K182" s="25" t="s">
        <v>414</v>
      </c>
      <c r="L182" s="25" t="s">
        <v>51</v>
      </c>
      <c r="M182" s="15" t="s">
        <v>31</v>
      </c>
      <c r="N182" s="16" t="str">
        <f>Tabla1[[#This Row],[ABR_02]]</f>
        <v>BA</v>
      </c>
      <c r="O182" t="s">
        <v>32</v>
      </c>
      <c r="P182" t="s">
        <v>33</v>
      </c>
      <c r="Q182" t="s">
        <v>32</v>
      </c>
      <c r="R182" s="29" t="str">
        <f>_xlfn.CONCAT(Tabla1[[#This Row],[ABR_01]],"00",Tabla1[[#This Row],[ABR_02]],Tabla1[[#This Row],[ZONA2]],,"0",Tabla1[[#This Row],[PARADA2]])</f>
        <v>AR00BA3004</v>
      </c>
      <c r="S182" s="37" t="s">
        <v>36</v>
      </c>
      <c r="T182" s="37" t="s">
        <v>36</v>
      </c>
      <c r="U182" s="10" t="s">
        <v>413</v>
      </c>
    </row>
    <row r="183" spans="2:21" x14ac:dyDescent="0.2">
      <c r="B183" s="19" t="s">
        <v>40</v>
      </c>
      <c r="C183" s="8" t="s">
        <v>420</v>
      </c>
      <c r="D183" s="12" t="s">
        <v>379</v>
      </c>
      <c r="E183" s="9" t="s">
        <v>367</v>
      </c>
      <c r="F183" s="10" t="s">
        <v>272</v>
      </c>
      <c r="G183" s="69" t="s">
        <v>413</v>
      </c>
      <c r="H183" s="73" t="s">
        <v>680</v>
      </c>
      <c r="I183" s="24" t="s">
        <v>27</v>
      </c>
      <c r="J183" s="24" t="s">
        <v>370</v>
      </c>
      <c r="K183" s="25" t="s">
        <v>414</v>
      </c>
      <c r="L183" s="25" t="s">
        <v>65</v>
      </c>
      <c r="M183" s="15" t="s">
        <v>31</v>
      </c>
      <c r="N183" s="16" t="str">
        <f>Tabla1[[#This Row],[ABR_02]]</f>
        <v>BA</v>
      </c>
      <c r="O183" t="s">
        <v>32</v>
      </c>
      <c r="P183" t="s">
        <v>33</v>
      </c>
      <c r="Q183" t="s">
        <v>32</v>
      </c>
      <c r="R183" s="29" t="str">
        <f>_xlfn.CONCAT(Tabla1[[#This Row],[ABR_01]],"00",Tabla1[[#This Row],[ABR_02]],Tabla1[[#This Row],[ZONA2]],,"0",Tabla1[[#This Row],[PARADA2]])</f>
        <v>AR00BA3005</v>
      </c>
      <c r="S183" s="37" t="s">
        <v>36</v>
      </c>
      <c r="T183" s="37" t="s">
        <v>36</v>
      </c>
      <c r="U183" s="10" t="s">
        <v>413</v>
      </c>
    </row>
    <row r="184" spans="2:21" x14ac:dyDescent="0.2">
      <c r="B184" s="19" t="s">
        <v>40</v>
      </c>
      <c r="C184" s="8" t="s">
        <v>421</v>
      </c>
      <c r="D184" s="12" t="s">
        <v>422</v>
      </c>
      <c r="E184" s="9" t="s">
        <v>367</v>
      </c>
      <c r="F184" s="10" t="s">
        <v>272</v>
      </c>
      <c r="G184" s="69" t="s">
        <v>413</v>
      </c>
      <c r="H184" s="73" t="s">
        <v>681</v>
      </c>
      <c r="I184" s="24" t="s">
        <v>27</v>
      </c>
      <c r="J184" s="24" t="s">
        <v>370</v>
      </c>
      <c r="K184" s="25" t="s">
        <v>414</v>
      </c>
      <c r="L184" s="25" t="s">
        <v>67</v>
      </c>
      <c r="M184" s="15" t="s">
        <v>31</v>
      </c>
      <c r="N184" s="16" t="str">
        <f>Tabla1[[#This Row],[ABR_02]]</f>
        <v>BA</v>
      </c>
      <c r="O184" t="s">
        <v>32</v>
      </c>
      <c r="P184" t="s">
        <v>33</v>
      </c>
      <c r="Q184" t="s">
        <v>32</v>
      </c>
      <c r="R184" s="29" t="str">
        <f>_xlfn.CONCAT(Tabla1[[#This Row],[ABR_01]],"00",Tabla1[[#This Row],[ABR_02]],Tabla1[[#This Row],[ZONA2]],,"0",Tabla1[[#This Row],[PARADA2]])</f>
        <v>AR00BA3006</v>
      </c>
      <c r="S184" s="37" t="s">
        <v>36</v>
      </c>
      <c r="T184" s="37" t="s">
        <v>36</v>
      </c>
      <c r="U184" s="10" t="s">
        <v>413</v>
      </c>
    </row>
    <row r="185" spans="2:21" x14ac:dyDescent="0.2">
      <c r="B185" s="19" t="s">
        <v>40</v>
      </c>
      <c r="C185" s="8" t="s">
        <v>423</v>
      </c>
      <c r="D185" s="17" t="s">
        <v>423</v>
      </c>
      <c r="E185" s="9" t="s">
        <v>367</v>
      </c>
      <c r="F185" s="10" t="s">
        <v>272</v>
      </c>
      <c r="G185" s="69" t="s">
        <v>413</v>
      </c>
      <c r="H185" s="73" t="s">
        <v>682</v>
      </c>
      <c r="I185" s="24" t="s">
        <v>27</v>
      </c>
      <c r="J185" s="24" t="s">
        <v>370</v>
      </c>
      <c r="K185" s="25" t="s">
        <v>414</v>
      </c>
      <c r="L185" s="25" t="s">
        <v>70</v>
      </c>
      <c r="M185" s="15" t="s">
        <v>31</v>
      </c>
      <c r="N185" s="16" t="str">
        <f>Tabla1[[#This Row],[ABR_02]]</f>
        <v>BA</v>
      </c>
      <c r="O185" t="s">
        <v>32</v>
      </c>
      <c r="P185" t="s">
        <v>33</v>
      </c>
      <c r="Q185" t="s">
        <v>32</v>
      </c>
      <c r="R185" s="29" t="str">
        <f>_xlfn.CONCAT(Tabla1[[#This Row],[ABR_01]],"00",Tabla1[[#This Row],[ABR_02]],Tabla1[[#This Row],[ZONA2]],,"0",Tabla1[[#This Row],[PARADA2]])</f>
        <v>AR00BA3007</v>
      </c>
      <c r="S185" s="37" t="s">
        <v>36</v>
      </c>
      <c r="T185" s="37" t="s">
        <v>36</v>
      </c>
      <c r="U185" s="10" t="s">
        <v>413</v>
      </c>
    </row>
    <row r="186" spans="2:21" x14ac:dyDescent="0.2">
      <c r="B186" s="19" t="s">
        <v>40</v>
      </c>
      <c r="C186" s="8" t="s">
        <v>424</v>
      </c>
      <c r="D186" s="12" t="s">
        <v>425</v>
      </c>
      <c r="E186" s="9" t="s">
        <v>367</v>
      </c>
      <c r="F186" s="10" t="s">
        <v>272</v>
      </c>
      <c r="G186" s="69" t="s">
        <v>413</v>
      </c>
      <c r="H186" s="73" t="s">
        <v>683</v>
      </c>
      <c r="I186" s="24" t="s">
        <v>27</v>
      </c>
      <c r="J186" s="24" t="s">
        <v>370</v>
      </c>
      <c r="K186" s="25" t="s">
        <v>414</v>
      </c>
      <c r="L186" s="25" t="s">
        <v>73</v>
      </c>
      <c r="M186" s="15" t="s">
        <v>31</v>
      </c>
      <c r="N186" s="16" t="str">
        <f>Tabla1[[#This Row],[ABR_02]]</f>
        <v>BA</v>
      </c>
      <c r="O186" t="s">
        <v>32</v>
      </c>
      <c r="P186" t="s">
        <v>33</v>
      </c>
      <c r="Q186" t="s">
        <v>32</v>
      </c>
      <c r="R186" s="29" t="str">
        <f>_xlfn.CONCAT(Tabla1[[#This Row],[ABR_01]],"00",Tabla1[[#This Row],[ABR_02]],Tabla1[[#This Row],[ZONA2]],,"0",Tabla1[[#This Row],[PARADA2]])</f>
        <v>AR00BA3008</v>
      </c>
      <c r="S186" s="37" t="s">
        <v>36</v>
      </c>
      <c r="T186" s="37" t="s">
        <v>36</v>
      </c>
      <c r="U186" s="10" t="s">
        <v>413</v>
      </c>
    </row>
    <row r="187" spans="2:21" x14ac:dyDescent="0.2">
      <c r="B187" s="19" t="s">
        <v>40</v>
      </c>
      <c r="C187" s="8" t="s">
        <v>427</v>
      </c>
      <c r="D187" s="17" t="s">
        <v>427</v>
      </c>
      <c r="E187" s="9" t="s">
        <v>367</v>
      </c>
      <c r="F187" s="10" t="s">
        <v>272</v>
      </c>
      <c r="G187" s="69" t="s">
        <v>413</v>
      </c>
      <c r="H187" s="73" t="s">
        <v>684</v>
      </c>
      <c r="I187" s="24" t="s">
        <v>27</v>
      </c>
      <c r="J187" s="24" t="s">
        <v>370</v>
      </c>
      <c r="K187" s="25" t="s">
        <v>414</v>
      </c>
      <c r="L187" s="25" t="s">
        <v>125</v>
      </c>
      <c r="M187" s="15" t="s">
        <v>31</v>
      </c>
      <c r="N187" s="16" t="str">
        <f>Tabla1[[#This Row],[ABR_02]]</f>
        <v>BA</v>
      </c>
      <c r="O187" t="s">
        <v>32</v>
      </c>
      <c r="P187" t="s">
        <v>33</v>
      </c>
      <c r="Q187" t="s">
        <v>32</v>
      </c>
      <c r="R187" s="29" t="str">
        <f>_xlfn.CONCAT(Tabla1[[#This Row],[ABR_01]],"00",Tabla1[[#This Row],[ABR_02]],Tabla1[[#This Row],[ZONA2]],,"0",Tabla1[[#This Row],[PARADA2]])</f>
        <v>AR00BA3009</v>
      </c>
      <c r="S187" s="37" t="s">
        <v>36</v>
      </c>
      <c r="T187" s="37" t="s">
        <v>36</v>
      </c>
      <c r="U187" s="10" t="s">
        <v>413</v>
      </c>
    </row>
    <row r="188" spans="2:21" x14ac:dyDescent="0.2">
      <c r="B188" s="19" t="s">
        <v>40</v>
      </c>
      <c r="C188" s="8" t="s">
        <v>429</v>
      </c>
      <c r="D188" s="12" t="s">
        <v>430</v>
      </c>
      <c r="E188" s="9" t="s">
        <v>367</v>
      </c>
      <c r="F188" s="10" t="s">
        <v>272</v>
      </c>
      <c r="G188" s="69" t="s">
        <v>413</v>
      </c>
      <c r="H188" s="73" t="s">
        <v>685</v>
      </c>
      <c r="I188" s="24" t="s">
        <v>27</v>
      </c>
      <c r="J188" s="24" t="s">
        <v>370</v>
      </c>
      <c r="K188" s="25" t="s">
        <v>414</v>
      </c>
      <c r="L188" s="25" t="s">
        <v>128</v>
      </c>
      <c r="M188" s="15" t="s">
        <v>31</v>
      </c>
      <c r="N188" s="16" t="str">
        <f>Tabla1[[#This Row],[ABR_02]]</f>
        <v>BA</v>
      </c>
      <c r="O188" t="s">
        <v>32</v>
      </c>
      <c r="P188" t="s">
        <v>33</v>
      </c>
      <c r="Q188" t="s">
        <v>32</v>
      </c>
      <c r="R188" s="29" t="str">
        <f>_xlfn.CONCAT(Tabla1[[#This Row],[ABR_01]],"00",Tabla1[[#This Row],[ABR_02]],Tabla1[[#This Row],[ZONA2]],,"0",Tabla1[[#This Row],[PARADA2]])</f>
        <v>AR00BA3010</v>
      </c>
      <c r="S188" s="37" t="s">
        <v>36</v>
      </c>
      <c r="T188" s="37" t="s">
        <v>36</v>
      </c>
      <c r="U188" s="10" t="s">
        <v>413</v>
      </c>
    </row>
    <row r="189" spans="2:21" x14ac:dyDescent="0.2">
      <c r="B189" s="19" t="s">
        <v>40</v>
      </c>
      <c r="C189" s="8" t="s">
        <v>432</v>
      </c>
      <c r="D189" s="17" t="s">
        <v>432</v>
      </c>
      <c r="E189" s="9" t="s">
        <v>367</v>
      </c>
      <c r="F189" s="10" t="s">
        <v>272</v>
      </c>
      <c r="G189" s="69" t="s">
        <v>413</v>
      </c>
      <c r="H189" s="73" t="s">
        <v>686</v>
      </c>
      <c r="I189" s="24" t="s">
        <v>27</v>
      </c>
      <c r="J189" s="24" t="s">
        <v>370</v>
      </c>
      <c r="K189" s="25" t="s">
        <v>414</v>
      </c>
      <c r="L189" s="25" t="s">
        <v>130</v>
      </c>
      <c r="M189" s="15" t="s">
        <v>31</v>
      </c>
      <c r="N189" s="16" t="str">
        <f>Tabla1[[#This Row],[ABR_02]]</f>
        <v>BA</v>
      </c>
      <c r="O189" t="s">
        <v>32</v>
      </c>
      <c r="P189" t="s">
        <v>33</v>
      </c>
      <c r="Q189" t="s">
        <v>32</v>
      </c>
      <c r="R189" s="29" t="str">
        <f>_xlfn.CONCAT(Tabla1[[#This Row],[ABR_01]],"00",Tabla1[[#This Row],[ABR_02]],Tabla1[[#This Row],[ZONA2]],,"0",Tabla1[[#This Row],[PARADA2]])</f>
        <v>AR00BA3011</v>
      </c>
      <c r="S189" s="37" t="s">
        <v>36</v>
      </c>
      <c r="T189" s="37" t="s">
        <v>36</v>
      </c>
      <c r="U189" s="10" t="s">
        <v>413</v>
      </c>
    </row>
    <row r="190" spans="2:21" x14ac:dyDescent="0.2">
      <c r="B190" s="19" t="s">
        <v>40</v>
      </c>
      <c r="C190" s="8" t="s">
        <v>434</v>
      </c>
      <c r="D190" s="12" t="s">
        <v>435</v>
      </c>
      <c r="E190" s="9" t="s">
        <v>367</v>
      </c>
      <c r="F190" s="10" t="s">
        <v>272</v>
      </c>
      <c r="G190" s="69" t="s">
        <v>413</v>
      </c>
      <c r="H190" s="73" t="s">
        <v>687</v>
      </c>
      <c r="I190" s="24" t="s">
        <v>27</v>
      </c>
      <c r="J190" s="24" t="s">
        <v>370</v>
      </c>
      <c r="K190" s="25" t="s">
        <v>414</v>
      </c>
      <c r="L190" s="25" t="s">
        <v>132</v>
      </c>
      <c r="M190" s="15" t="s">
        <v>31</v>
      </c>
      <c r="N190" s="16" t="str">
        <f>Tabla1[[#This Row],[ABR_02]]</f>
        <v>BA</v>
      </c>
      <c r="O190" t="s">
        <v>32</v>
      </c>
      <c r="P190" t="s">
        <v>33</v>
      </c>
      <c r="Q190" t="s">
        <v>32</v>
      </c>
      <c r="R190" s="29" t="str">
        <f>_xlfn.CONCAT(Tabla1[[#This Row],[ABR_01]],"00",Tabla1[[#This Row],[ABR_02]],Tabla1[[#This Row],[ZONA2]],,"0",Tabla1[[#This Row],[PARADA2]])</f>
        <v>AR00BA3012</v>
      </c>
      <c r="S190" s="37" t="s">
        <v>36</v>
      </c>
      <c r="T190" s="37" t="s">
        <v>36</v>
      </c>
      <c r="U190" s="10" t="s">
        <v>413</v>
      </c>
    </row>
    <row r="191" spans="2:21" x14ac:dyDescent="0.2">
      <c r="B191" s="19" t="s">
        <v>40</v>
      </c>
      <c r="C191" s="8" t="s">
        <v>438</v>
      </c>
      <c r="D191" s="17" t="s">
        <v>438</v>
      </c>
      <c r="E191" s="9" t="s">
        <v>367</v>
      </c>
      <c r="F191" s="10" t="s">
        <v>272</v>
      </c>
      <c r="G191" s="69" t="s">
        <v>413</v>
      </c>
      <c r="H191" s="73" t="s">
        <v>688</v>
      </c>
      <c r="I191" s="24" t="s">
        <v>27</v>
      </c>
      <c r="J191" s="24" t="s">
        <v>370</v>
      </c>
      <c r="K191" s="25" t="s">
        <v>414</v>
      </c>
      <c r="L191" s="25" t="s">
        <v>134</v>
      </c>
      <c r="M191" s="15" t="s">
        <v>31</v>
      </c>
      <c r="N191" s="16" t="str">
        <f>Tabla1[[#This Row],[ABR_02]]</f>
        <v>BA</v>
      </c>
      <c r="O191" t="s">
        <v>32</v>
      </c>
      <c r="P191" t="s">
        <v>33</v>
      </c>
      <c r="Q191" t="s">
        <v>32</v>
      </c>
      <c r="R191" s="29" t="str">
        <f>_xlfn.CONCAT(Tabla1[[#This Row],[ABR_01]],"00",Tabla1[[#This Row],[ABR_02]],Tabla1[[#This Row],[ZONA2]],,"0",Tabla1[[#This Row],[PARADA2]])</f>
        <v>AR00BA3013</v>
      </c>
      <c r="S191" s="37" t="s">
        <v>36</v>
      </c>
      <c r="T191" s="37" t="s">
        <v>36</v>
      </c>
      <c r="U191" s="10" t="s">
        <v>413</v>
      </c>
    </row>
    <row r="192" spans="2:21" x14ac:dyDescent="0.2">
      <c r="B192" s="19" t="s">
        <v>40</v>
      </c>
      <c r="C192" s="8" t="s">
        <v>440</v>
      </c>
      <c r="D192" s="17" t="s">
        <v>440</v>
      </c>
      <c r="E192" s="9" t="s">
        <v>367</v>
      </c>
      <c r="F192" s="10" t="s">
        <v>272</v>
      </c>
      <c r="G192" s="69" t="s">
        <v>413</v>
      </c>
      <c r="H192" s="73" t="s">
        <v>689</v>
      </c>
      <c r="I192" s="24" t="s">
        <v>27</v>
      </c>
      <c r="J192" s="24" t="s">
        <v>370</v>
      </c>
      <c r="K192" s="25" t="s">
        <v>414</v>
      </c>
      <c r="L192" s="25" t="s">
        <v>137</v>
      </c>
      <c r="M192" s="15" t="s">
        <v>31</v>
      </c>
      <c r="N192" s="16" t="str">
        <f>Tabla1[[#This Row],[ABR_02]]</f>
        <v>BA</v>
      </c>
      <c r="O192" t="s">
        <v>32</v>
      </c>
      <c r="P192" t="s">
        <v>33</v>
      </c>
      <c r="Q192" t="s">
        <v>32</v>
      </c>
      <c r="R192" s="29" t="str">
        <f>_xlfn.CONCAT(Tabla1[[#This Row],[ABR_01]],"00",Tabla1[[#This Row],[ABR_02]],Tabla1[[#This Row],[ZONA2]],,"0",Tabla1[[#This Row],[PARADA2]])</f>
        <v>AR00BA3014</v>
      </c>
      <c r="S192" s="37" t="s">
        <v>36</v>
      </c>
      <c r="T192" s="37" t="s">
        <v>36</v>
      </c>
      <c r="U192" s="10" t="s">
        <v>413</v>
      </c>
    </row>
    <row r="193" spans="2:21" x14ac:dyDescent="0.2">
      <c r="B193" s="19" t="s">
        <v>40</v>
      </c>
      <c r="C193" s="8" t="s">
        <v>442</v>
      </c>
      <c r="D193" s="12" t="s">
        <v>443</v>
      </c>
      <c r="E193" s="9" t="s">
        <v>367</v>
      </c>
      <c r="F193" s="10" t="s">
        <v>272</v>
      </c>
      <c r="G193" s="69" t="s">
        <v>413</v>
      </c>
      <c r="H193" s="73" t="s">
        <v>690</v>
      </c>
      <c r="I193" s="24" t="s">
        <v>27</v>
      </c>
      <c r="J193" s="24" t="s">
        <v>370</v>
      </c>
      <c r="K193" s="25" t="s">
        <v>414</v>
      </c>
      <c r="L193" s="25" t="s">
        <v>140</v>
      </c>
      <c r="M193" s="15" t="s">
        <v>31</v>
      </c>
      <c r="N193" s="16" t="str">
        <f>Tabla1[[#This Row],[ABR_02]]</f>
        <v>BA</v>
      </c>
      <c r="O193" t="s">
        <v>32</v>
      </c>
      <c r="P193" t="s">
        <v>33</v>
      </c>
      <c r="Q193" t="s">
        <v>32</v>
      </c>
      <c r="R193" s="29" t="str">
        <f>_xlfn.CONCAT(Tabla1[[#This Row],[ABR_01]],"00",Tabla1[[#This Row],[ABR_02]],Tabla1[[#This Row],[ZONA2]],,"0",Tabla1[[#This Row],[PARADA2]])</f>
        <v>AR00BA3015</v>
      </c>
      <c r="S193" s="37" t="s">
        <v>36</v>
      </c>
      <c r="T193" s="37" t="s">
        <v>36</v>
      </c>
      <c r="U193" s="10" t="s">
        <v>413</v>
      </c>
    </row>
    <row r="194" spans="2:21" x14ac:dyDescent="0.2">
      <c r="B194" s="19" t="s">
        <v>40</v>
      </c>
      <c r="C194" s="8" t="s">
        <v>445</v>
      </c>
      <c r="D194" s="17" t="s">
        <v>445</v>
      </c>
      <c r="E194" s="9" t="s">
        <v>367</v>
      </c>
      <c r="F194" s="10" t="s">
        <v>272</v>
      </c>
      <c r="G194" s="69" t="s">
        <v>413</v>
      </c>
      <c r="H194" s="73" t="s">
        <v>691</v>
      </c>
      <c r="I194" s="24" t="s">
        <v>27</v>
      </c>
      <c r="J194" s="24" t="s">
        <v>370</v>
      </c>
      <c r="K194" s="25" t="s">
        <v>414</v>
      </c>
      <c r="L194" s="25" t="s">
        <v>143</v>
      </c>
      <c r="M194" s="15" t="s">
        <v>31</v>
      </c>
      <c r="N194" s="16" t="str">
        <f>Tabla1[[#This Row],[ABR_02]]</f>
        <v>BA</v>
      </c>
      <c r="O194" t="s">
        <v>32</v>
      </c>
      <c r="P194" t="s">
        <v>33</v>
      </c>
      <c r="Q194" t="s">
        <v>32</v>
      </c>
      <c r="R194" s="29" t="str">
        <f>_xlfn.CONCAT(Tabla1[[#This Row],[ABR_01]],"00",Tabla1[[#This Row],[ABR_02]],Tabla1[[#This Row],[ZONA2]],,"0",Tabla1[[#This Row],[PARADA2]])</f>
        <v>AR00BA3016</v>
      </c>
      <c r="S194" s="37" t="s">
        <v>36</v>
      </c>
      <c r="T194" s="37" t="s">
        <v>36</v>
      </c>
      <c r="U194" s="10" t="s">
        <v>413</v>
      </c>
    </row>
    <row r="195" spans="2:21" x14ac:dyDescent="0.2">
      <c r="B195" s="19" t="s">
        <v>40</v>
      </c>
      <c r="C195" s="8" t="s">
        <v>447</v>
      </c>
      <c r="D195" s="12" t="s">
        <v>448</v>
      </c>
      <c r="E195" s="9" t="s">
        <v>367</v>
      </c>
      <c r="F195" s="10" t="s">
        <v>272</v>
      </c>
      <c r="G195" s="69" t="s">
        <v>413</v>
      </c>
      <c r="H195" s="73" t="s">
        <v>692</v>
      </c>
      <c r="I195" s="24" t="s">
        <v>27</v>
      </c>
      <c r="J195" s="24" t="s">
        <v>370</v>
      </c>
      <c r="K195" s="25" t="s">
        <v>414</v>
      </c>
      <c r="L195" s="25" t="s">
        <v>146</v>
      </c>
      <c r="M195" s="15" t="s">
        <v>31</v>
      </c>
      <c r="N195" s="16" t="str">
        <f>Tabla1[[#This Row],[ABR_02]]</f>
        <v>BA</v>
      </c>
      <c r="O195" t="s">
        <v>32</v>
      </c>
      <c r="P195" t="s">
        <v>33</v>
      </c>
      <c r="Q195" t="s">
        <v>32</v>
      </c>
      <c r="R195" s="29" t="str">
        <f>_xlfn.CONCAT(Tabla1[[#This Row],[ABR_01]],"00",Tabla1[[#This Row],[ABR_02]],Tabla1[[#This Row],[ZONA2]],,"0",Tabla1[[#This Row],[PARADA2]])</f>
        <v>AR00BA3017</v>
      </c>
      <c r="S195" s="37" t="s">
        <v>36</v>
      </c>
      <c r="T195" s="37" t="s">
        <v>36</v>
      </c>
      <c r="U195" s="10" t="s">
        <v>413</v>
      </c>
    </row>
    <row r="196" spans="2:21" x14ac:dyDescent="0.2">
      <c r="B196" s="19" t="s">
        <v>40</v>
      </c>
      <c r="C196" s="8" t="s">
        <v>450</v>
      </c>
      <c r="D196" s="12" t="s">
        <v>451</v>
      </c>
      <c r="E196" s="9" t="s">
        <v>367</v>
      </c>
      <c r="F196" s="10" t="s">
        <v>272</v>
      </c>
      <c r="G196" s="69" t="s">
        <v>413</v>
      </c>
      <c r="H196" s="73" t="s">
        <v>693</v>
      </c>
      <c r="I196" s="24" t="s">
        <v>27</v>
      </c>
      <c r="J196" s="24" t="s">
        <v>370</v>
      </c>
      <c r="K196" s="25" t="s">
        <v>414</v>
      </c>
      <c r="L196" s="25" t="s">
        <v>148</v>
      </c>
      <c r="M196" s="15" t="s">
        <v>31</v>
      </c>
      <c r="N196" s="16" t="str">
        <f>Tabla1[[#This Row],[ABR_02]]</f>
        <v>BA</v>
      </c>
      <c r="O196" t="s">
        <v>32</v>
      </c>
      <c r="P196" t="s">
        <v>33</v>
      </c>
      <c r="Q196" t="s">
        <v>32</v>
      </c>
      <c r="R196" s="29" t="str">
        <f>_xlfn.CONCAT(Tabla1[[#This Row],[ABR_01]],"00",Tabla1[[#This Row],[ABR_02]],Tabla1[[#This Row],[ZONA2]],,"0",Tabla1[[#This Row],[PARADA2]])</f>
        <v>AR00BA3018</v>
      </c>
      <c r="S196" s="37" t="s">
        <v>36</v>
      </c>
      <c r="T196" s="37" t="s">
        <v>36</v>
      </c>
      <c r="U196" s="10" t="s">
        <v>413</v>
      </c>
    </row>
    <row r="197" spans="2:21" x14ac:dyDescent="0.2">
      <c r="B197" s="19" t="s">
        <v>40</v>
      </c>
      <c r="C197" s="8" t="s">
        <v>453</v>
      </c>
      <c r="D197" s="17" t="s">
        <v>453</v>
      </c>
      <c r="E197" s="9" t="s">
        <v>367</v>
      </c>
      <c r="F197" s="10" t="s">
        <v>272</v>
      </c>
      <c r="G197" s="69" t="s">
        <v>413</v>
      </c>
      <c r="H197" s="73" t="s">
        <v>694</v>
      </c>
      <c r="I197" s="24" t="s">
        <v>27</v>
      </c>
      <c r="J197" s="24" t="s">
        <v>370</v>
      </c>
      <c r="K197" s="25" t="s">
        <v>414</v>
      </c>
      <c r="L197" s="25" t="s">
        <v>151</v>
      </c>
      <c r="M197" s="15" t="s">
        <v>31</v>
      </c>
      <c r="N197" s="16" t="str">
        <f>Tabla1[[#This Row],[ABR_02]]</f>
        <v>BA</v>
      </c>
      <c r="O197" t="s">
        <v>32</v>
      </c>
      <c r="P197" t="s">
        <v>33</v>
      </c>
      <c r="Q197" t="s">
        <v>32</v>
      </c>
      <c r="R197" s="29" t="str">
        <f>_xlfn.CONCAT(Tabla1[[#This Row],[ABR_01]],"00",Tabla1[[#This Row],[ABR_02]],Tabla1[[#This Row],[ZONA2]],,"0",Tabla1[[#This Row],[PARADA2]])</f>
        <v>AR00BA3019</v>
      </c>
      <c r="S197" s="37" t="s">
        <v>36</v>
      </c>
      <c r="T197" s="37" t="s">
        <v>36</v>
      </c>
      <c r="U197" s="10" t="s">
        <v>413</v>
      </c>
    </row>
    <row r="198" spans="2:21" x14ac:dyDescent="0.2">
      <c r="B198" s="19" t="s">
        <v>40</v>
      </c>
      <c r="C198" s="8" t="s">
        <v>455</v>
      </c>
      <c r="D198" s="17" t="s">
        <v>455</v>
      </c>
      <c r="E198" s="9" t="s">
        <v>367</v>
      </c>
      <c r="F198" s="10" t="s">
        <v>272</v>
      </c>
      <c r="G198" s="69" t="s">
        <v>413</v>
      </c>
      <c r="H198" s="73" t="s">
        <v>695</v>
      </c>
      <c r="I198" s="24" t="s">
        <v>27</v>
      </c>
      <c r="J198" s="24" t="s">
        <v>370</v>
      </c>
      <c r="K198" s="25" t="s">
        <v>414</v>
      </c>
      <c r="L198" s="25" t="s">
        <v>153</v>
      </c>
      <c r="M198" s="15" t="s">
        <v>31</v>
      </c>
      <c r="N198" s="16" t="str">
        <f>Tabla1[[#This Row],[ABR_02]]</f>
        <v>BA</v>
      </c>
      <c r="O198" t="s">
        <v>32</v>
      </c>
      <c r="P198" t="s">
        <v>33</v>
      </c>
      <c r="Q198" t="s">
        <v>32</v>
      </c>
      <c r="R198" s="29" t="str">
        <f>_xlfn.CONCAT(Tabla1[[#This Row],[ABR_01]],"00",Tabla1[[#This Row],[ABR_02]],Tabla1[[#This Row],[ZONA2]],,"0",Tabla1[[#This Row],[PARADA2]])</f>
        <v>AR00BA3020</v>
      </c>
      <c r="S198" s="37" t="s">
        <v>36</v>
      </c>
      <c r="T198" s="37" t="s">
        <v>36</v>
      </c>
      <c r="U198" s="10" t="s">
        <v>413</v>
      </c>
    </row>
    <row r="199" spans="2:21" x14ac:dyDescent="0.2">
      <c r="B199" s="19" t="s">
        <v>40</v>
      </c>
      <c r="C199" s="8" t="s">
        <v>457</v>
      </c>
      <c r="D199" s="12" t="s">
        <v>458</v>
      </c>
      <c r="E199" s="9" t="s">
        <v>367</v>
      </c>
      <c r="F199" s="10" t="s">
        <v>272</v>
      </c>
      <c r="G199" s="69" t="s">
        <v>413</v>
      </c>
      <c r="H199" s="73" t="s">
        <v>696</v>
      </c>
      <c r="I199" s="24" t="s">
        <v>27</v>
      </c>
      <c r="J199" s="24" t="s">
        <v>370</v>
      </c>
      <c r="K199" s="25" t="s">
        <v>414</v>
      </c>
      <c r="L199" s="25" t="s">
        <v>156</v>
      </c>
      <c r="M199" s="15" t="s">
        <v>31</v>
      </c>
      <c r="N199" s="16" t="str">
        <f>Tabla1[[#This Row],[ABR_02]]</f>
        <v>BA</v>
      </c>
      <c r="O199" t="s">
        <v>32</v>
      </c>
      <c r="P199" t="s">
        <v>33</v>
      </c>
      <c r="Q199" t="s">
        <v>32</v>
      </c>
      <c r="R199" s="29" t="str">
        <f>_xlfn.CONCAT(Tabla1[[#This Row],[ABR_01]],"00",Tabla1[[#This Row],[ABR_02]],Tabla1[[#This Row],[ZONA2]],,"0",Tabla1[[#This Row],[PARADA2]])</f>
        <v>AR00BA3021</v>
      </c>
      <c r="S199" s="37" t="s">
        <v>36</v>
      </c>
      <c r="T199" s="37" t="s">
        <v>36</v>
      </c>
      <c r="U199" s="10" t="s">
        <v>413</v>
      </c>
    </row>
    <row r="200" spans="2:21" x14ac:dyDescent="0.2">
      <c r="B200" s="19" t="s">
        <v>40</v>
      </c>
      <c r="C200" s="8" t="s">
        <v>460</v>
      </c>
      <c r="D200" s="17" t="s">
        <v>460</v>
      </c>
      <c r="E200" s="9" t="s">
        <v>367</v>
      </c>
      <c r="F200" s="10" t="s">
        <v>272</v>
      </c>
      <c r="G200" s="69" t="s">
        <v>413</v>
      </c>
      <c r="H200" s="73" t="s">
        <v>697</v>
      </c>
      <c r="I200" s="24" t="s">
        <v>27</v>
      </c>
      <c r="J200" s="24" t="s">
        <v>370</v>
      </c>
      <c r="K200" s="25" t="s">
        <v>414</v>
      </c>
      <c r="L200" s="25" t="s">
        <v>158</v>
      </c>
      <c r="M200" s="15" t="s">
        <v>31</v>
      </c>
      <c r="N200" s="16" t="str">
        <f>Tabla1[[#This Row],[ABR_02]]</f>
        <v>BA</v>
      </c>
      <c r="O200" t="s">
        <v>32</v>
      </c>
      <c r="P200" t="s">
        <v>33</v>
      </c>
      <c r="Q200" t="s">
        <v>32</v>
      </c>
      <c r="R200" s="29" t="str">
        <f>_xlfn.CONCAT(Tabla1[[#This Row],[ABR_01]],"00",Tabla1[[#This Row],[ABR_02]],Tabla1[[#This Row],[ZONA2]],,"0",Tabla1[[#This Row],[PARADA2]])</f>
        <v>AR00BA3022</v>
      </c>
      <c r="S200" s="37" t="s">
        <v>36</v>
      </c>
      <c r="T200" s="37" t="s">
        <v>36</v>
      </c>
      <c r="U200" s="10" t="s">
        <v>413</v>
      </c>
    </row>
    <row r="201" spans="2:21" x14ac:dyDescent="0.2">
      <c r="B201" s="19" t="s">
        <v>40</v>
      </c>
      <c r="C201" s="8" t="s">
        <v>462</v>
      </c>
      <c r="D201" s="17" t="s">
        <v>462</v>
      </c>
      <c r="E201" s="9" t="s">
        <v>367</v>
      </c>
      <c r="F201" s="10" t="s">
        <v>272</v>
      </c>
      <c r="G201" s="69" t="s">
        <v>413</v>
      </c>
      <c r="H201" s="73" t="s">
        <v>698</v>
      </c>
      <c r="I201" s="24" t="s">
        <v>27</v>
      </c>
      <c r="J201" s="24" t="s">
        <v>370</v>
      </c>
      <c r="K201" s="25" t="s">
        <v>414</v>
      </c>
      <c r="L201" s="25" t="s">
        <v>161</v>
      </c>
      <c r="M201" s="15" t="s">
        <v>31</v>
      </c>
      <c r="N201" s="16" t="str">
        <f>Tabla1[[#This Row],[ABR_02]]</f>
        <v>BA</v>
      </c>
      <c r="O201" t="s">
        <v>32</v>
      </c>
      <c r="P201" t="s">
        <v>33</v>
      </c>
      <c r="Q201" t="s">
        <v>32</v>
      </c>
      <c r="R201" s="29" t="str">
        <f>_xlfn.CONCAT(Tabla1[[#This Row],[ABR_01]],"00",Tabla1[[#This Row],[ABR_02]],Tabla1[[#This Row],[ZONA2]],,"0",Tabla1[[#This Row],[PARADA2]])</f>
        <v>AR00BA3023</v>
      </c>
      <c r="S201" s="37" t="s">
        <v>36</v>
      </c>
      <c r="T201" s="37" t="s">
        <v>36</v>
      </c>
      <c r="U201" s="10" t="s">
        <v>413</v>
      </c>
    </row>
    <row r="202" spans="2:21" x14ac:dyDescent="0.2">
      <c r="B202" s="19" t="s">
        <v>40</v>
      </c>
      <c r="C202" s="12" t="s">
        <v>467</v>
      </c>
      <c r="D202" s="12" t="s">
        <v>467</v>
      </c>
      <c r="E202" s="9" t="s">
        <v>367</v>
      </c>
      <c r="F202" s="10" t="s">
        <v>272</v>
      </c>
      <c r="G202" s="69" t="s">
        <v>413</v>
      </c>
      <c r="H202" s="73" t="s">
        <v>468</v>
      </c>
      <c r="I202" s="24" t="s">
        <v>27</v>
      </c>
      <c r="J202" s="24" t="s">
        <v>370</v>
      </c>
      <c r="K202" s="25" t="s">
        <v>414</v>
      </c>
      <c r="L202" s="25" t="s">
        <v>166</v>
      </c>
      <c r="M202" s="15" t="s">
        <v>31</v>
      </c>
      <c r="N202" s="16" t="str">
        <f>Tabla1[[#This Row],[ABR_02]]</f>
        <v>BA</v>
      </c>
      <c r="O202" t="s">
        <v>32</v>
      </c>
      <c r="P202" t="s">
        <v>33</v>
      </c>
      <c r="Q202" t="s">
        <v>32</v>
      </c>
      <c r="R202" s="29" t="str">
        <f>_xlfn.CONCAT(Tabla1[[#This Row],[ABR_01]],"00",Tabla1[[#This Row],[ABR_02]],Tabla1[[#This Row],[ZONA2]],,"0",Tabla1[[#This Row],[PARADA2]])</f>
        <v>AR00BA3025</v>
      </c>
      <c r="S202" s="37" t="s">
        <v>36</v>
      </c>
      <c r="T202" s="37" t="s">
        <v>36</v>
      </c>
      <c r="U202" s="10" t="s">
        <v>413</v>
      </c>
    </row>
    <row r="203" spans="2:21" x14ac:dyDescent="0.2">
      <c r="B203" s="19" t="s">
        <v>40</v>
      </c>
      <c r="C203" s="8" t="s">
        <v>464</v>
      </c>
      <c r="D203" s="12" t="s">
        <v>465</v>
      </c>
      <c r="E203" s="9" t="s">
        <v>367</v>
      </c>
      <c r="F203" s="10" t="s">
        <v>109</v>
      </c>
      <c r="G203" s="69" t="s">
        <v>630</v>
      </c>
      <c r="H203" s="73" t="s">
        <v>699</v>
      </c>
      <c r="I203" s="24" t="s">
        <v>27</v>
      </c>
      <c r="J203" s="24" t="s">
        <v>370</v>
      </c>
      <c r="K203" s="25" t="s">
        <v>414</v>
      </c>
      <c r="L203" s="25" t="s">
        <v>164</v>
      </c>
      <c r="M203" s="15" t="s">
        <v>31</v>
      </c>
      <c r="N203" s="16" t="str">
        <f>Tabla1[[#This Row],[ABR_02]]</f>
        <v>BA</v>
      </c>
      <c r="O203" t="s">
        <v>32</v>
      </c>
      <c r="P203" t="s">
        <v>33</v>
      </c>
      <c r="Q203" t="s">
        <v>32</v>
      </c>
      <c r="R203" s="29" t="str">
        <f>_xlfn.CONCAT(Tabla1[[#This Row],[ABR_01]],"00",Tabla1[[#This Row],[ABR_02]],Tabla1[[#This Row],[ZONA2]],,"0",Tabla1[[#This Row],[PARADA2]])</f>
        <v>AR00BA3024</v>
      </c>
      <c r="S203" s="37" t="s">
        <v>36</v>
      </c>
      <c r="T203" s="37" t="s">
        <v>36</v>
      </c>
      <c r="U203" s="10" t="s">
        <v>413</v>
      </c>
    </row>
    <row r="204" spans="2:21" x14ac:dyDescent="0.2">
      <c r="B204" s="19" t="s">
        <v>24</v>
      </c>
      <c r="C204" s="8" t="s">
        <v>470</v>
      </c>
      <c r="D204" s="8" t="s">
        <v>470</v>
      </c>
      <c r="E204" s="9" t="s">
        <v>471</v>
      </c>
      <c r="F204" s="10" t="s">
        <v>487</v>
      </c>
      <c r="G204" s="13" t="s">
        <v>700</v>
      </c>
      <c r="H204" s="10" t="s">
        <v>700</v>
      </c>
      <c r="I204" s="24" t="s">
        <v>27</v>
      </c>
      <c r="J204" s="24" t="s">
        <v>472</v>
      </c>
      <c r="K204" s="25" t="s">
        <v>29</v>
      </c>
      <c r="L204" s="25" t="s">
        <v>48</v>
      </c>
      <c r="M204" s="15" t="s">
        <v>31</v>
      </c>
      <c r="N204" s="16" t="str">
        <f>Tabla1[[#This Row],[ABR_02]]</f>
        <v>PA</v>
      </c>
      <c r="O204" t="s">
        <v>32</v>
      </c>
      <c r="P204" t="s">
        <v>33</v>
      </c>
      <c r="Q204" t="s">
        <v>34</v>
      </c>
      <c r="R204" s="29" t="str">
        <f>_xlfn.CONCAT(Tabla1[[#This Row],[ABR_01]],"00",Tabla1[[#This Row],[ABR_02]],Tabla1[[#This Row],[ZONA2]],,"0",Tabla1[[#This Row],[PARADA2]])</f>
        <v>AR00PA1003</v>
      </c>
      <c r="S204" s="37" t="s">
        <v>36</v>
      </c>
      <c r="T204" s="37" t="s">
        <v>36</v>
      </c>
      <c r="U204" s="10" t="s">
        <v>487</v>
      </c>
    </row>
    <row r="205" spans="2:21" x14ac:dyDescent="0.2">
      <c r="B205" s="19" t="s">
        <v>24</v>
      </c>
      <c r="C205" s="8" t="s">
        <v>473</v>
      </c>
      <c r="D205" s="8" t="s">
        <v>473</v>
      </c>
      <c r="E205" s="31" t="s">
        <v>474</v>
      </c>
      <c r="F205" s="32" t="s">
        <v>487</v>
      </c>
      <c r="G205" s="33"/>
      <c r="H205" s="10"/>
      <c r="I205" s="24" t="s">
        <v>27</v>
      </c>
      <c r="J205" s="24" t="s">
        <v>475</v>
      </c>
      <c r="K205" s="25" t="s">
        <v>29</v>
      </c>
      <c r="L205" s="25" t="s">
        <v>51</v>
      </c>
      <c r="M205" s="15" t="s">
        <v>31</v>
      </c>
      <c r="N205" s="34" t="str">
        <f>Tabla1[[#This Row],[ABR_02]]</f>
        <v>CL</v>
      </c>
      <c r="O205" t="s">
        <v>32</v>
      </c>
      <c r="P205" t="s">
        <v>33</v>
      </c>
      <c r="Q205" t="s">
        <v>34</v>
      </c>
      <c r="R205" s="29" t="str">
        <f>_xlfn.CONCAT(Tabla1[[#This Row],[ABR_01]],"00",Tabla1[[#This Row],[ABR_02]],Tabla1[[#This Row],[ZONA2]],,"0",Tabla1[[#This Row],[PARADA2]])</f>
        <v>AR00CL1004</v>
      </c>
      <c r="T205" s="37" t="s">
        <v>36</v>
      </c>
      <c r="U205" s="32" t="s">
        <v>487</v>
      </c>
    </row>
    <row r="206" spans="2:21" x14ac:dyDescent="0.2">
      <c r="B206" s="19" t="s">
        <v>24</v>
      </c>
      <c r="C206" s="8" t="s">
        <v>476</v>
      </c>
      <c r="D206" s="8" t="s">
        <v>476</v>
      </c>
      <c r="E206" s="31" t="s">
        <v>477</v>
      </c>
      <c r="F206" s="32" t="s">
        <v>487</v>
      </c>
      <c r="G206" s="33" t="s">
        <v>701</v>
      </c>
      <c r="H206" s="10" t="s">
        <v>701</v>
      </c>
      <c r="I206" s="24" t="s">
        <v>27</v>
      </c>
      <c r="J206" s="24" t="s">
        <v>478</v>
      </c>
      <c r="K206" s="25" t="s">
        <v>29</v>
      </c>
      <c r="L206" s="25" t="s">
        <v>46</v>
      </c>
      <c r="M206" s="15" t="s">
        <v>31</v>
      </c>
      <c r="N206" s="34" t="str">
        <f>Tabla1[[#This Row],[ABR_02]]</f>
        <v>BO</v>
      </c>
      <c r="O206" t="s">
        <v>32</v>
      </c>
      <c r="P206" t="s">
        <v>33</v>
      </c>
      <c r="Q206" t="s">
        <v>34</v>
      </c>
      <c r="R206" s="29" t="str">
        <f>_xlfn.CONCAT(Tabla1[[#This Row],[ABR_01]],"00",Tabla1[[#This Row],[ABR_02]],Tabla1[[#This Row],[ZONA2]],,"0",Tabla1[[#This Row],[PARADA2]])</f>
        <v>AR00BO1002</v>
      </c>
      <c r="S206" s="37" t="s">
        <v>36</v>
      </c>
      <c r="T206" s="37" t="s">
        <v>36</v>
      </c>
      <c r="U206" s="32" t="s">
        <v>487</v>
      </c>
    </row>
    <row r="1048575" spans="17:17" x14ac:dyDescent="0.2">
      <c r="Q1048575" s="23"/>
    </row>
  </sheetData>
  <mergeCells count="2">
    <mergeCell ref="M1:R1"/>
    <mergeCell ref="S1:T1"/>
  </mergeCells>
  <phoneticPr fontId="8" type="noConversion"/>
  <conditionalFormatting sqref="H2:H206">
    <cfRule type="duplicateValues" dxfId="5" priority="7"/>
  </conditionalFormatting>
  <conditionalFormatting sqref="AA2:AA5">
    <cfRule type="duplicateValues" dxfId="4" priority="1"/>
    <cfRule type="duplicateValues" dxfId="3" priority="2"/>
  </conditionalFormatting>
  <conditionalFormatting sqref="AA6:AA7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1B99-7188-44EF-A5E7-8712D5FBE5D0}">
  <sheetPr filterMode="1"/>
  <dimension ref="A1:N37"/>
  <sheetViews>
    <sheetView workbookViewId="0">
      <selection activeCell="J25" sqref="J25"/>
    </sheetView>
  </sheetViews>
  <sheetFormatPr baseColWidth="10" defaultColWidth="11.5" defaultRowHeight="15" x14ac:dyDescent="0.2"/>
  <cols>
    <col min="1" max="1" width="9.83203125" bestFit="1" customWidth="1"/>
    <col min="2" max="2" width="28.33203125" bestFit="1" customWidth="1"/>
    <col min="3" max="3" width="11.33203125" bestFit="1" customWidth="1"/>
    <col min="4" max="4" width="15" bestFit="1" customWidth="1"/>
    <col min="5" max="5" width="11.33203125" bestFit="1" customWidth="1"/>
    <col min="6" max="6" width="8.6640625" bestFit="1" customWidth="1"/>
    <col min="7" max="7" width="33.6640625" customWidth="1"/>
    <col min="8" max="8" width="7.6640625" bestFit="1" customWidth="1"/>
    <col min="9" max="9" width="11.33203125" bestFit="1" customWidth="1"/>
    <col min="10" max="10" width="11.5" bestFit="1" customWidth="1"/>
  </cols>
  <sheetData>
    <row r="1" spans="1:14" ht="18" x14ac:dyDescent="0.2">
      <c r="A1" s="38"/>
      <c r="B1" s="77" t="s">
        <v>702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ht="24" x14ac:dyDescent="0.2">
      <c r="A2" s="39" t="s">
        <v>703</v>
      </c>
      <c r="B2" s="39" t="s">
        <v>704</v>
      </c>
      <c r="C2" s="40" t="s">
        <v>705</v>
      </c>
      <c r="D2" s="40" t="s">
        <v>706</v>
      </c>
      <c r="E2" s="40" t="s">
        <v>707</v>
      </c>
      <c r="F2" s="40" t="s">
        <v>708</v>
      </c>
      <c r="G2" s="40" t="s">
        <v>709</v>
      </c>
      <c r="H2" s="40"/>
      <c r="I2" s="40" t="s">
        <v>710</v>
      </c>
      <c r="J2" s="40" t="s">
        <v>711</v>
      </c>
      <c r="K2" s="79" t="s">
        <v>712</v>
      </c>
      <c r="L2" s="80"/>
      <c r="M2" s="80"/>
      <c r="N2" s="81"/>
    </row>
    <row r="3" spans="1:14" ht="36" x14ac:dyDescent="0.2">
      <c r="A3" s="45"/>
      <c r="B3" s="49" t="s">
        <v>713</v>
      </c>
      <c r="C3" s="49" t="s">
        <v>714</v>
      </c>
      <c r="D3" s="49" t="s">
        <v>715</v>
      </c>
      <c r="E3" s="49" t="s">
        <v>716</v>
      </c>
      <c r="F3" s="49"/>
      <c r="G3" s="49" t="s">
        <v>717</v>
      </c>
      <c r="H3" s="49" t="s">
        <v>718</v>
      </c>
      <c r="I3" s="49" t="s">
        <v>719</v>
      </c>
      <c r="J3" s="49" t="s">
        <v>720</v>
      </c>
      <c r="K3" s="50" t="s">
        <v>22</v>
      </c>
      <c r="L3" s="50" t="s">
        <v>721</v>
      </c>
      <c r="M3" s="50" t="s">
        <v>722</v>
      </c>
      <c r="N3" s="50" t="s">
        <v>723</v>
      </c>
    </row>
    <row r="4" spans="1:14" hidden="1" x14ac:dyDescent="0.2">
      <c r="A4" s="52" t="s">
        <v>724</v>
      </c>
      <c r="B4" s="53" t="s">
        <v>725</v>
      </c>
      <c r="C4" s="52"/>
      <c r="D4" s="52" t="s">
        <v>726</v>
      </c>
      <c r="E4" s="52" t="s">
        <v>727</v>
      </c>
      <c r="F4" s="54"/>
      <c r="G4" s="47"/>
      <c r="H4" s="47"/>
      <c r="I4" s="46"/>
      <c r="J4" s="46"/>
      <c r="K4" s="51" t="s">
        <v>36</v>
      </c>
      <c r="L4" s="51" t="s">
        <v>36</v>
      </c>
      <c r="M4" s="51" t="s">
        <v>36</v>
      </c>
    </row>
    <row r="5" spans="1:14" hidden="1" x14ac:dyDescent="0.2">
      <c r="A5" s="52" t="s">
        <v>728</v>
      </c>
      <c r="B5" s="53" t="s">
        <v>729</v>
      </c>
      <c r="C5" s="52"/>
      <c r="D5" s="52" t="s">
        <v>726</v>
      </c>
      <c r="E5" s="52" t="s">
        <v>727</v>
      </c>
      <c r="F5" s="54"/>
      <c r="G5" s="47"/>
      <c r="H5" s="47"/>
      <c r="I5" s="46"/>
      <c r="J5" s="46"/>
      <c r="K5" s="51" t="s">
        <v>36</v>
      </c>
      <c r="M5" s="51" t="s">
        <v>36</v>
      </c>
    </row>
    <row r="6" spans="1:14" hidden="1" x14ac:dyDescent="0.2">
      <c r="A6" s="52" t="s">
        <v>730</v>
      </c>
      <c r="B6" s="53" t="s">
        <v>731</v>
      </c>
      <c r="C6" s="52"/>
      <c r="D6" s="52" t="s">
        <v>726</v>
      </c>
      <c r="E6" s="52" t="s">
        <v>727</v>
      </c>
      <c r="F6" s="54"/>
      <c r="G6" s="47"/>
      <c r="H6" s="47"/>
      <c r="I6" s="46"/>
      <c r="J6" s="46"/>
      <c r="L6" s="51" t="s">
        <v>36</v>
      </c>
      <c r="M6" s="51" t="s">
        <v>36</v>
      </c>
    </row>
    <row r="7" spans="1:14" hidden="1" x14ac:dyDescent="0.2">
      <c r="A7" s="52" t="s">
        <v>732</v>
      </c>
      <c r="B7" s="53" t="s">
        <v>733</v>
      </c>
      <c r="C7" s="52"/>
      <c r="D7" s="52" t="s">
        <v>726</v>
      </c>
      <c r="E7" s="52" t="s">
        <v>727</v>
      </c>
      <c r="F7" s="54"/>
      <c r="G7" s="47"/>
      <c r="H7" s="47"/>
      <c r="I7" s="46"/>
      <c r="J7" s="46"/>
      <c r="L7" s="51" t="s">
        <v>36</v>
      </c>
      <c r="M7" s="51" t="s">
        <v>36</v>
      </c>
    </row>
    <row r="8" spans="1:14" hidden="1" x14ac:dyDescent="0.2">
      <c r="A8" s="52" t="s">
        <v>734</v>
      </c>
      <c r="B8" s="53" t="s">
        <v>735</v>
      </c>
      <c r="C8" s="52"/>
      <c r="D8" s="52" t="s">
        <v>726</v>
      </c>
      <c r="E8" s="52" t="s">
        <v>727</v>
      </c>
      <c r="F8" s="54"/>
      <c r="G8" s="47"/>
      <c r="H8" s="47"/>
      <c r="I8" s="46"/>
      <c r="J8" s="46"/>
      <c r="L8" s="51" t="s">
        <v>36</v>
      </c>
      <c r="M8" s="51" t="s">
        <v>36</v>
      </c>
    </row>
    <row r="9" spans="1:14" hidden="1" x14ac:dyDescent="0.2">
      <c r="A9" s="52" t="s">
        <v>736</v>
      </c>
      <c r="B9" s="53" t="s">
        <v>737</v>
      </c>
      <c r="C9" s="52"/>
      <c r="D9" s="52" t="s">
        <v>726</v>
      </c>
      <c r="E9" s="52" t="s">
        <v>727</v>
      </c>
      <c r="F9" s="54"/>
      <c r="G9" s="47"/>
      <c r="H9" s="47"/>
      <c r="I9" s="46"/>
      <c r="J9" s="46"/>
      <c r="L9" s="51" t="s">
        <v>36</v>
      </c>
      <c r="M9" s="51" t="s">
        <v>36</v>
      </c>
    </row>
    <row r="10" spans="1:14" hidden="1" x14ac:dyDescent="0.2">
      <c r="A10" s="52" t="s">
        <v>738</v>
      </c>
      <c r="B10" s="53" t="s">
        <v>739</v>
      </c>
      <c r="C10" s="52"/>
      <c r="D10" s="52" t="s">
        <v>726</v>
      </c>
      <c r="E10" s="52" t="s">
        <v>727</v>
      </c>
      <c r="F10" s="54"/>
      <c r="G10" s="47"/>
      <c r="H10" s="47"/>
      <c r="I10" s="46"/>
      <c r="J10" s="46"/>
      <c r="L10" s="51" t="s">
        <v>36</v>
      </c>
      <c r="M10" s="51" t="s">
        <v>36</v>
      </c>
    </row>
    <row r="11" spans="1:14" hidden="1" x14ac:dyDescent="0.2">
      <c r="A11" s="52" t="s">
        <v>724</v>
      </c>
      <c r="B11" s="53" t="s">
        <v>740</v>
      </c>
      <c r="C11" s="52"/>
      <c r="D11" s="52" t="s">
        <v>726</v>
      </c>
      <c r="E11" s="52" t="s">
        <v>727</v>
      </c>
      <c r="F11" s="54"/>
      <c r="G11" s="47"/>
      <c r="H11" s="47"/>
      <c r="I11" s="46"/>
      <c r="J11" s="46"/>
      <c r="K11" s="51" t="s">
        <v>36</v>
      </c>
      <c r="L11" s="51" t="s">
        <v>36</v>
      </c>
      <c r="M11" s="51" t="s">
        <v>36</v>
      </c>
    </row>
    <row r="12" spans="1:14" hidden="1" x14ac:dyDescent="0.2">
      <c r="A12" s="52" t="s">
        <v>741</v>
      </c>
      <c r="B12" s="53" t="s">
        <v>742</v>
      </c>
      <c r="C12" s="52"/>
      <c r="D12" s="52" t="s">
        <v>726</v>
      </c>
      <c r="E12" s="52" t="s">
        <v>727</v>
      </c>
      <c r="F12" s="54"/>
      <c r="G12" s="47"/>
      <c r="H12" s="47"/>
      <c r="I12" s="46"/>
      <c r="J12" s="46"/>
      <c r="L12" s="51" t="s">
        <v>36</v>
      </c>
      <c r="M12" s="51" t="s">
        <v>36</v>
      </c>
    </row>
    <row r="13" spans="1:14" hidden="1" x14ac:dyDescent="0.2">
      <c r="A13" s="52"/>
      <c r="B13" s="53" t="s">
        <v>743</v>
      </c>
      <c r="C13" s="52"/>
      <c r="D13" s="52" t="s">
        <v>726</v>
      </c>
      <c r="E13" s="52" t="s">
        <v>727</v>
      </c>
      <c r="F13" s="54"/>
      <c r="G13" s="54" t="s">
        <v>744</v>
      </c>
      <c r="H13" s="47"/>
      <c r="I13" s="46"/>
      <c r="J13" s="46"/>
      <c r="L13" s="51" t="s">
        <v>36</v>
      </c>
      <c r="M13" s="51" t="s">
        <v>36</v>
      </c>
    </row>
    <row r="14" spans="1:14" hidden="1" x14ac:dyDescent="0.2">
      <c r="A14" s="55"/>
      <c r="B14" s="53" t="s">
        <v>745</v>
      </c>
      <c r="C14" s="52"/>
      <c r="D14" s="52" t="s">
        <v>726</v>
      </c>
      <c r="E14" s="52" t="s">
        <v>727</v>
      </c>
      <c r="F14" s="54"/>
      <c r="G14" s="54" t="s">
        <v>744</v>
      </c>
      <c r="H14" s="48"/>
      <c r="I14" s="46"/>
      <c r="J14" s="46"/>
      <c r="L14" s="51" t="s">
        <v>36</v>
      </c>
      <c r="M14" s="51" t="s">
        <v>36</v>
      </c>
    </row>
    <row r="15" spans="1:14" hidden="1" x14ac:dyDescent="0.2">
      <c r="A15" s="52" t="s">
        <v>746</v>
      </c>
      <c r="B15" s="53" t="s">
        <v>747</v>
      </c>
      <c r="C15" s="52"/>
      <c r="D15" s="52" t="s">
        <v>726</v>
      </c>
      <c r="E15" s="52" t="s">
        <v>727</v>
      </c>
      <c r="F15" s="53"/>
      <c r="G15" s="48"/>
      <c r="H15" s="48"/>
      <c r="I15" s="46"/>
      <c r="J15" s="46"/>
      <c r="K15" s="51" t="s">
        <v>36</v>
      </c>
      <c r="M15" s="51" t="s">
        <v>36</v>
      </c>
    </row>
    <row r="16" spans="1:14" hidden="1" x14ac:dyDescent="0.2">
      <c r="A16" s="52" t="s">
        <v>748</v>
      </c>
      <c r="B16" s="53" t="s">
        <v>749</v>
      </c>
      <c r="C16" s="52"/>
      <c r="D16" s="52" t="s">
        <v>726</v>
      </c>
      <c r="E16" s="52" t="s">
        <v>727</v>
      </c>
      <c r="F16" s="53"/>
      <c r="G16" s="48"/>
      <c r="H16" s="48"/>
      <c r="I16" s="46"/>
      <c r="J16" s="46"/>
      <c r="K16" s="51" t="s">
        <v>36</v>
      </c>
      <c r="M16" s="51" t="s">
        <v>36</v>
      </c>
    </row>
    <row r="17" spans="1:14" hidden="1" x14ac:dyDescent="0.2">
      <c r="A17" s="52" t="s">
        <v>750</v>
      </c>
      <c r="B17" s="53" t="s">
        <v>751</v>
      </c>
      <c r="C17" s="52"/>
      <c r="D17" s="52" t="s">
        <v>726</v>
      </c>
      <c r="E17" s="52" t="s">
        <v>727</v>
      </c>
      <c r="F17" s="53"/>
      <c r="G17" s="48"/>
      <c r="H17" s="48"/>
      <c r="I17" s="46"/>
      <c r="J17" s="46"/>
      <c r="K17" s="51" t="s">
        <v>36</v>
      </c>
      <c r="M17" s="51" t="s">
        <v>36</v>
      </c>
    </row>
    <row r="18" spans="1:14" hidden="1" x14ac:dyDescent="0.2">
      <c r="A18" s="52" t="s">
        <v>752</v>
      </c>
      <c r="B18" s="53" t="s">
        <v>753</v>
      </c>
      <c r="C18" s="52"/>
      <c r="D18" s="52" t="s">
        <v>726</v>
      </c>
      <c r="E18" s="52" t="s">
        <v>727</v>
      </c>
      <c r="F18" s="53"/>
      <c r="G18" s="48"/>
      <c r="H18" s="48"/>
      <c r="I18" s="46"/>
      <c r="J18" s="46"/>
      <c r="K18" s="51" t="s">
        <v>36</v>
      </c>
      <c r="M18" s="51" t="s">
        <v>36</v>
      </c>
    </row>
    <row r="19" spans="1:14" x14ac:dyDescent="0.2">
      <c r="A19" s="52" t="s">
        <v>754</v>
      </c>
      <c r="B19" s="53" t="s">
        <v>755</v>
      </c>
      <c r="C19" s="52"/>
      <c r="D19" s="52" t="s">
        <v>726</v>
      </c>
      <c r="E19" s="52" t="s">
        <v>727</v>
      </c>
      <c r="F19" s="53"/>
      <c r="G19" s="48"/>
      <c r="H19" s="48"/>
      <c r="I19" s="46"/>
      <c r="J19" s="46"/>
      <c r="K19" s="51" t="s">
        <v>36</v>
      </c>
      <c r="M19" s="51" t="s">
        <v>36</v>
      </c>
    </row>
    <row r="20" spans="1:14" hidden="1" x14ac:dyDescent="0.2">
      <c r="A20" s="52" t="s">
        <v>724</v>
      </c>
      <c r="B20" s="53" t="s">
        <v>756</v>
      </c>
      <c r="C20" s="52"/>
      <c r="D20" s="52" t="s">
        <v>726</v>
      </c>
      <c r="E20" s="52" t="s">
        <v>727</v>
      </c>
      <c r="F20" s="53"/>
      <c r="G20" s="48"/>
      <c r="H20" s="48"/>
      <c r="I20" s="46"/>
      <c r="J20" s="46"/>
      <c r="K20" s="51" t="s">
        <v>36</v>
      </c>
      <c r="M20" s="51" t="s">
        <v>36</v>
      </c>
    </row>
    <row r="21" spans="1:14" hidden="1" x14ac:dyDescent="0.2">
      <c r="A21" s="52"/>
      <c r="B21" s="53" t="s">
        <v>757</v>
      </c>
      <c r="C21" s="52"/>
      <c r="D21" s="52" t="s">
        <v>726</v>
      </c>
      <c r="E21" s="52" t="s">
        <v>727</v>
      </c>
      <c r="F21" s="53"/>
      <c r="G21" s="48"/>
      <c r="H21" s="48"/>
      <c r="I21" s="46"/>
      <c r="J21" s="46"/>
      <c r="K21" s="51" t="s">
        <v>36</v>
      </c>
      <c r="M21" s="51" t="s">
        <v>36</v>
      </c>
    </row>
    <row r="22" spans="1:14" hidden="1" x14ac:dyDescent="0.2">
      <c r="A22" s="52"/>
      <c r="B22" s="53" t="s">
        <v>758</v>
      </c>
      <c r="C22" s="52"/>
      <c r="D22" s="52" t="s">
        <v>726</v>
      </c>
      <c r="E22" s="52" t="s">
        <v>727</v>
      </c>
      <c r="F22" s="53"/>
      <c r="G22" s="48"/>
      <c r="H22" s="48"/>
      <c r="I22" s="46"/>
      <c r="J22" s="46"/>
      <c r="K22" s="51" t="s">
        <v>36</v>
      </c>
      <c r="M22" s="51" t="s">
        <v>36</v>
      </c>
    </row>
    <row r="23" spans="1:14" hidden="1" x14ac:dyDescent="0.2">
      <c r="A23" s="52"/>
      <c r="B23" s="53" t="s">
        <v>759</v>
      </c>
      <c r="C23" s="52"/>
      <c r="D23" s="52" t="s">
        <v>726</v>
      </c>
      <c r="E23" s="52" t="s">
        <v>727</v>
      </c>
      <c r="F23" s="53"/>
      <c r="G23" s="48"/>
      <c r="H23" s="48"/>
      <c r="I23" s="46"/>
      <c r="J23" s="46"/>
      <c r="K23" s="51" t="s">
        <v>36</v>
      </c>
      <c r="N23" s="51" t="s">
        <v>36</v>
      </c>
    </row>
    <row r="24" spans="1:14" hidden="1" x14ac:dyDescent="0.2">
      <c r="A24" s="52" t="s">
        <v>760</v>
      </c>
      <c r="B24" s="53" t="s">
        <v>761</v>
      </c>
      <c r="C24" s="52"/>
      <c r="D24" s="52" t="s">
        <v>726</v>
      </c>
      <c r="E24" s="52" t="s">
        <v>727</v>
      </c>
      <c r="F24" s="54"/>
      <c r="G24" s="54" t="s">
        <v>762</v>
      </c>
      <c r="H24" s="48"/>
      <c r="I24" s="46"/>
      <c r="J24" s="46"/>
      <c r="K24" s="51" t="s">
        <v>36</v>
      </c>
      <c r="N24" s="51" t="s">
        <v>36</v>
      </c>
    </row>
    <row r="25" spans="1:14" x14ac:dyDescent="0.2">
      <c r="A25" s="52" t="s">
        <v>754</v>
      </c>
      <c r="B25" s="53" t="s">
        <v>755</v>
      </c>
      <c r="C25" s="52"/>
      <c r="D25" s="52"/>
      <c r="E25" s="52"/>
      <c r="F25" s="53"/>
      <c r="G25" s="48"/>
      <c r="H25" s="48"/>
      <c r="I25" s="46"/>
      <c r="J25" s="46"/>
      <c r="K25" s="51" t="s">
        <v>36</v>
      </c>
      <c r="N25" s="51" t="s">
        <v>36</v>
      </c>
    </row>
    <row r="26" spans="1:14" hidden="1" x14ac:dyDescent="0.2">
      <c r="A26" s="52" t="s">
        <v>750</v>
      </c>
      <c r="B26" s="53" t="s">
        <v>751</v>
      </c>
      <c r="C26" s="52"/>
      <c r="D26" s="52"/>
      <c r="E26" s="52"/>
      <c r="F26" s="53"/>
      <c r="G26" s="48"/>
      <c r="H26" s="48"/>
      <c r="I26" s="46"/>
      <c r="J26" s="46"/>
      <c r="K26" s="51" t="s">
        <v>36</v>
      </c>
      <c r="N26" s="51" t="s">
        <v>36</v>
      </c>
    </row>
    <row r="27" spans="1:14" hidden="1" x14ac:dyDescent="0.2">
      <c r="A27" s="52" t="s">
        <v>724</v>
      </c>
      <c r="B27" s="53" t="s">
        <v>740</v>
      </c>
      <c r="C27" s="52"/>
      <c r="D27" s="52"/>
      <c r="E27" s="52"/>
      <c r="F27" s="53"/>
      <c r="G27" s="48"/>
      <c r="H27" s="48"/>
      <c r="I27" s="46"/>
      <c r="J27" s="46"/>
      <c r="K27" s="51" t="s">
        <v>36</v>
      </c>
      <c r="N27" s="51" t="s">
        <v>36</v>
      </c>
    </row>
    <row r="28" spans="1:14" hidden="1" x14ac:dyDescent="0.2">
      <c r="A28" s="52"/>
      <c r="B28" s="53" t="s">
        <v>763</v>
      </c>
      <c r="C28" s="52"/>
      <c r="D28" s="52"/>
      <c r="E28" s="52"/>
      <c r="F28" s="53"/>
      <c r="G28" s="48"/>
      <c r="H28" s="48"/>
      <c r="I28" s="46"/>
      <c r="J28" s="46"/>
      <c r="K28" s="51" t="s">
        <v>36</v>
      </c>
      <c r="N28" s="51" t="s">
        <v>36</v>
      </c>
    </row>
    <row r="29" spans="1:14" hidden="1" x14ac:dyDescent="0.2">
      <c r="A29" s="52"/>
      <c r="B29" s="53" t="s">
        <v>764</v>
      </c>
      <c r="C29" s="52"/>
      <c r="D29" s="52"/>
      <c r="E29" s="52"/>
      <c r="F29" s="53"/>
      <c r="G29" s="48"/>
      <c r="H29" s="48"/>
      <c r="I29" s="46"/>
      <c r="J29" s="46"/>
      <c r="K29" s="51" t="s">
        <v>36</v>
      </c>
      <c r="N29" s="51" t="s">
        <v>36</v>
      </c>
    </row>
    <row r="30" spans="1:14" hidden="1" x14ac:dyDescent="0.2">
      <c r="A30" s="52"/>
      <c r="B30" s="53" t="s">
        <v>765</v>
      </c>
      <c r="C30" s="52"/>
      <c r="D30" s="52"/>
      <c r="E30" s="52"/>
      <c r="F30" s="53"/>
      <c r="G30" s="48"/>
      <c r="H30" s="48"/>
      <c r="I30" s="46"/>
      <c r="J30" s="46"/>
      <c r="K30" s="51" t="s">
        <v>36</v>
      </c>
      <c r="N30" s="51" t="s">
        <v>36</v>
      </c>
    </row>
    <row r="31" spans="1:14" hidden="1" x14ac:dyDescent="0.2">
      <c r="A31" s="52"/>
      <c r="B31" s="53" t="s">
        <v>766</v>
      </c>
      <c r="C31" s="52"/>
      <c r="D31" s="52"/>
      <c r="E31" s="52"/>
      <c r="F31" s="53"/>
      <c r="G31" s="48"/>
      <c r="H31" s="48"/>
      <c r="I31" s="46"/>
      <c r="J31" s="46"/>
      <c r="K31" s="51" t="s">
        <v>36</v>
      </c>
      <c r="N31" s="51" t="s">
        <v>36</v>
      </c>
    </row>
    <row r="32" spans="1:14" hidden="1" x14ac:dyDescent="0.2">
      <c r="A32" s="52"/>
      <c r="B32" s="53" t="s">
        <v>767</v>
      </c>
      <c r="C32" s="52"/>
      <c r="D32" s="52"/>
      <c r="E32" s="52"/>
      <c r="F32" s="53"/>
      <c r="G32" s="48"/>
      <c r="H32" s="48"/>
      <c r="I32" s="46"/>
      <c r="J32" s="46"/>
      <c r="K32" s="51" t="s">
        <v>36</v>
      </c>
      <c r="N32" s="51" t="s">
        <v>36</v>
      </c>
    </row>
    <row r="33" spans="1:14" hidden="1" x14ac:dyDescent="0.2">
      <c r="A33" s="55"/>
      <c r="B33" s="53" t="s">
        <v>768</v>
      </c>
      <c r="C33" s="52"/>
      <c r="D33" s="46"/>
      <c r="E33" s="46"/>
      <c r="F33" s="48"/>
      <c r="G33" s="48"/>
      <c r="H33" s="48"/>
      <c r="I33" s="46"/>
      <c r="J33" s="46"/>
      <c r="K33" s="51" t="s">
        <v>36</v>
      </c>
      <c r="N33" s="51" t="s">
        <v>36</v>
      </c>
    </row>
    <row r="34" spans="1:14" hidden="1" x14ac:dyDescent="0.2">
      <c r="A34" s="55"/>
      <c r="B34" s="53" t="s">
        <v>769</v>
      </c>
      <c r="C34" s="52"/>
      <c r="D34" s="46"/>
      <c r="E34" s="46"/>
      <c r="F34" s="48"/>
      <c r="G34" s="48"/>
      <c r="H34" s="48"/>
      <c r="I34" s="46"/>
      <c r="J34" s="46"/>
      <c r="K34" s="51" t="s">
        <v>36</v>
      </c>
      <c r="N34" s="51" t="s">
        <v>36</v>
      </c>
    </row>
    <row r="35" spans="1:14" hidden="1" x14ac:dyDescent="0.2">
      <c r="A35" s="55"/>
      <c r="B35" s="53" t="s">
        <v>770</v>
      </c>
      <c r="C35" s="52"/>
      <c r="D35" s="46"/>
      <c r="E35" s="46"/>
      <c r="F35" s="48"/>
      <c r="G35" s="48"/>
      <c r="H35" s="48"/>
      <c r="I35" s="46"/>
      <c r="J35" s="46"/>
      <c r="K35" s="51" t="s">
        <v>36</v>
      </c>
      <c r="N35" s="51" t="s">
        <v>36</v>
      </c>
    </row>
    <row r="36" spans="1:14" hidden="1" x14ac:dyDescent="0.2">
      <c r="A36" s="55"/>
      <c r="B36" s="53" t="s">
        <v>771</v>
      </c>
      <c r="C36" s="52"/>
      <c r="D36" s="46"/>
      <c r="E36" s="46"/>
      <c r="F36" s="48"/>
      <c r="G36" s="48"/>
      <c r="H36" s="48"/>
      <c r="I36" s="46"/>
      <c r="J36" s="46"/>
      <c r="K36" s="51" t="s">
        <v>36</v>
      </c>
      <c r="N36" s="51" t="s">
        <v>36</v>
      </c>
    </row>
    <row r="37" spans="1:14" hidden="1" x14ac:dyDescent="0.2">
      <c r="A37" s="55"/>
      <c r="B37" s="53" t="s">
        <v>772</v>
      </c>
      <c r="C37" s="52"/>
      <c r="D37" s="46"/>
      <c r="E37" s="46"/>
      <c r="F37" s="48"/>
      <c r="G37" s="48"/>
      <c r="H37" s="48"/>
      <c r="I37" s="46"/>
      <c r="J37" s="46"/>
      <c r="K37" s="51" t="s">
        <v>36</v>
      </c>
      <c r="N37" s="51" t="s">
        <v>36</v>
      </c>
    </row>
  </sheetData>
  <autoFilter ref="A3:N37" xr:uid="{DD7F1B99-7188-44EF-A5E7-8712D5FBE5D0}">
    <filterColumn colId="1">
      <filters>
        <filter val="RB Raposo Tavares"/>
      </filters>
    </filterColumn>
  </autoFilter>
  <mergeCells count="2">
    <mergeCell ref="B1:N1"/>
    <mergeCell ref="K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8617-16D7-469C-A172-ACF1AB528A25}">
  <dimension ref="A3:F9"/>
  <sheetViews>
    <sheetView workbookViewId="0">
      <selection activeCell="N10" sqref="N10"/>
    </sheetView>
  </sheetViews>
  <sheetFormatPr baseColWidth="10" defaultColWidth="11.5" defaultRowHeight="15" x14ac:dyDescent="0.2"/>
  <cols>
    <col min="3" max="3" width="9.5" bestFit="1" customWidth="1"/>
    <col min="4" max="4" width="24.5" bestFit="1" customWidth="1"/>
    <col min="5" max="5" width="10.6640625" hidden="1" customWidth="1"/>
    <col min="6" max="6" width="9.33203125" bestFit="1" customWidth="1"/>
  </cols>
  <sheetData>
    <row r="3" spans="1:6" x14ac:dyDescent="0.2">
      <c r="C3" t="s">
        <v>773</v>
      </c>
      <c r="D3" t="s">
        <v>774</v>
      </c>
      <c r="E3" t="s">
        <v>775</v>
      </c>
      <c r="F3" t="s">
        <v>776</v>
      </c>
    </row>
    <row r="4" spans="1:6" x14ac:dyDescent="0.2">
      <c r="C4" t="s">
        <v>777</v>
      </c>
      <c r="D4" t="s">
        <v>778</v>
      </c>
      <c r="E4">
        <v>33502623</v>
      </c>
      <c r="F4" t="s">
        <v>22</v>
      </c>
    </row>
    <row r="5" spans="1:6" x14ac:dyDescent="0.2">
      <c r="C5" t="s">
        <v>779</v>
      </c>
      <c r="D5" t="s">
        <v>780</v>
      </c>
      <c r="E5">
        <v>33500260</v>
      </c>
      <c r="F5" t="s">
        <v>21</v>
      </c>
    </row>
    <row r="6" spans="1:6" x14ac:dyDescent="0.2">
      <c r="C6" t="s">
        <v>779</v>
      </c>
      <c r="D6" t="s">
        <v>781</v>
      </c>
      <c r="E6">
        <v>89021411</v>
      </c>
      <c r="F6" t="s">
        <v>22</v>
      </c>
    </row>
    <row r="7" spans="1:6" x14ac:dyDescent="0.2">
      <c r="C7" t="s">
        <v>779</v>
      </c>
      <c r="D7" t="s">
        <v>782</v>
      </c>
      <c r="E7">
        <v>33501436</v>
      </c>
      <c r="F7" t="s">
        <v>22</v>
      </c>
    </row>
    <row r="8" spans="1:6" x14ac:dyDescent="0.2">
      <c r="C8" t="s">
        <v>779</v>
      </c>
      <c r="D8" s="53" t="s">
        <v>745</v>
      </c>
      <c r="F8" t="s">
        <v>21</v>
      </c>
    </row>
    <row r="9" spans="1:6" x14ac:dyDescent="0.2">
      <c r="A9" t="s">
        <v>783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029f8a-87d7-45dc-90b7-ab1888242d61" xsi:nil="true"/>
    <lcf76f155ced4ddcb4097134ff3c332f xmlns="23bee66a-80c9-44ab-927c-55890e114a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5682072B2F84FB706FB47791DE223" ma:contentTypeVersion="13" ma:contentTypeDescription="Create a new document." ma:contentTypeScope="" ma:versionID="f2945d7b394d13551132d3f3a638c2fa">
  <xsd:schema xmlns:xsd="http://www.w3.org/2001/XMLSchema" xmlns:xs="http://www.w3.org/2001/XMLSchema" xmlns:p="http://schemas.microsoft.com/office/2006/metadata/properties" xmlns:ns2="23bee66a-80c9-44ab-927c-55890e114a9e" xmlns:ns3="28029f8a-87d7-45dc-90b7-ab1888242d61" targetNamespace="http://schemas.microsoft.com/office/2006/metadata/properties" ma:root="true" ma:fieldsID="847e9d63e7128958befcc7d4c5fb7534" ns2:_="" ns3:_="">
    <xsd:import namespace="23bee66a-80c9-44ab-927c-55890e114a9e"/>
    <xsd:import namespace="28029f8a-87d7-45dc-90b7-ab1888242d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ee66a-80c9-44ab-927c-55890e114a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1871397-01f1-4df6-ac7a-d04447f379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29f8a-87d7-45dc-90b7-ab1888242d6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be76b04-c59e-4c08-ad2a-3a81da80b5a5}" ma:internalName="TaxCatchAll" ma:showField="CatchAllData" ma:web="28029f8a-87d7-45dc-90b7-ab1888242d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EE516-4C3A-474E-9971-2899E5BB4D84}">
  <ds:schemaRefs>
    <ds:schemaRef ds:uri="http://schemas.microsoft.com/office/2006/metadata/properties"/>
    <ds:schemaRef ds:uri="http://schemas.microsoft.com/office/infopath/2007/PartnerControls"/>
    <ds:schemaRef ds:uri="28029f8a-87d7-45dc-90b7-ab1888242d61"/>
    <ds:schemaRef ds:uri="23bee66a-80c9-44ab-927c-55890e114a9e"/>
  </ds:schemaRefs>
</ds:datastoreItem>
</file>

<file path=customXml/itemProps2.xml><?xml version="1.0" encoding="utf-8"?>
<ds:datastoreItem xmlns:ds="http://schemas.openxmlformats.org/officeDocument/2006/customXml" ds:itemID="{E05B411B-9211-478B-AD17-FD69FB0E6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ee66a-80c9-44ab-927c-55890e114a9e"/>
    <ds:schemaRef ds:uri="28029f8a-87d7-45dc-90b7-ab1888242d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7052D9-237B-4759-BCE0-9234BF234C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Rutas2209</vt:lpstr>
      <vt:lpstr>OBD</vt:lpstr>
      <vt:lpstr>IBD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Gomez, Fernando</dc:creator>
  <cp:keywords/>
  <dc:description/>
  <cp:lastModifiedBy>Gomez, Fernando (Vestacy)</cp:lastModifiedBy>
  <cp:revision/>
  <dcterms:created xsi:type="dcterms:W3CDTF">2023-03-08T16:13:08Z</dcterms:created>
  <dcterms:modified xsi:type="dcterms:W3CDTF">2026-03-31T23:04:16Z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0b4bf39b-58d3-45f0-a9ad-a4bec0018033</vt:lpwstr>
  </property>
  <property fmtid="{D5CDD505-2E9C-101B-9397-08002B2CF9AE}" pid="3" name="ContentTypeId">
    <vt:lpwstr>0x010100B815682072B2F84FB706FB47791DE223</vt:lpwstr>
  </property>
  <property fmtid="{D5CDD505-2E9C-101B-9397-08002B2CF9AE}" pid="4" name="MediaServiceImageTags">
    <vt:lpwstr/>
  </property>
  <property fmtid="{D5CDD505-2E9C-101B-9397-08002B2CF9AE}" pid="5" name="Order">
    <vt:r8>7075200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